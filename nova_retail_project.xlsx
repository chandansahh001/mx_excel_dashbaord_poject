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Jitendra Kumar sah\Downloads\"/>
    </mc:Choice>
  </mc:AlternateContent>
  <xr:revisionPtr revIDLastSave="0" documentId="8_{CB9509E4-8CDB-4481-A900-4C361EAD66DF}" xr6:coauthVersionLast="47" xr6:coauthVersionMax="47" xr10:uidLastSave="{00000000-0000-0000-0000-000000000000}"/>
  <bookViews>
    <workbookView xWindow="-108" yWindow="-108" windowWidth="23256" windowHeight="12456" firstSheet="1" activeTab="5" xr2:uid="{53C759F8-908F-4957-89BB-3930B2D9A5EA}"/>
  </bookViews>
  <sheets>
    <sheet name="Dashboard_Sheet" sheetId="8" r:id="rId1"/>
    <sheet name="Pivot_Reports" sheetId="7" r:id="rId2"/>
    <sheet name="Formula_Analysis" sheetId="4" r:id="rId3"/>
    <sheet name="Manager_Data" sheetId="2" r:id="rId4"/>
    <sheet name="Cleaned_Data" sheetId="3" r:id="rId5"/>
    <sheet name="Raw_Data" sheetId="1" r:id="rId6"/>
  </sheets>
  <definedNames>
    <definedName name="_xlnm._FilterDatabase" localSheetId="4" hidden="1">Cleaned_Data!$A$1:$N$20</definedName>
    <definedName name="Slicer_City">#N/A</definedName>
    <definedName name="Slicer_Department">#N/A</definedName>
    <definedName name="Slicer_PaymentMod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8" l="1"/>
  <c r="C5" i="8"/>
  <c r="M20" i="7"/>
  <c r="M19" i="7"/>
  <c r="M18" i="7"/>
  <c r="M17" i="7"/>
  <c r="M16" i="7"/>
  <c r="M15" i="7"/>
  <c r="M14" i="7"/>
  <c r="M13" i="7"/>
  <c r="M12" i="7"/>
  <c r="M11" i="7"/>
  <c r="M10" i="7"/>
  <c r="M9" i="7"/>
  <c r="M8" i="7"/>
  <c r="M7" i="7"/>
  <c r="M6" i="7"/>
  <c r="M5" i="7"/>
  <c r="M4" i="7"/>
  <c r="M3" i="7"/>
  <c r="M2" i="7"/>
  <c r="T2" i="4" a="1"/>
  <c r="T2" i="4" s="1"/>
  <c r="S3" i="4"/>
  <c r="S4" i="4"/>
  <c r="S5" i="4"/>
  <c r="S6" i="4"/>
  <c r="S7" i="4"/>
  <c r="S8" i="4"/>
  <c r="S9" i="4"/>
  <c r="S10" i="4"/>
  <c r="S11" i="4"/>
  <c r="S12" i="4"/>
  <c r="S13" i="4"/>
  <c r="S14" i="4"/>
  <c r="S15" i="4"/>
  <c r="S16" i="4"/>
  <c r="S17" i="4"/>
  <c r="S18" i="4"/>
  <c r="S19" i="4"/>
  <c r="S20" i="4"/>
  <c r="S2" i="4"/>
  <c r="R3" i="4"/>
  <c r="R4" i="4"/>
  <c r="R5" i="4"/>
  <c r="R6" i="4"/>
  <c r="R7" i="4"/>
  <c r="R8" i="4"/>
  <c r="R9" i="4"/>
  <c r="R10" i="4"/>
  <c r="R11" i="4"/>
  <c r="R12" i="4"/>
  <c r="R13" i="4"/>
  <c r="R14" i="4"/>
  <c r="R15" i="4"/>
  <c r="R16" i="4"/>
  <c r="R17" i="4"/>
  <c r="R18" i="4"/>
  <c r="R19" i="4"/>
  <c r="R20" i="4"/>
  <c r="R2" i="4"/>
  <c r="Q3" i="4"/>
  <c r="Q4" i="4"/>
  <c r="Q5" i="4"/>
  <c r="Q6" i="4"/>
  <c r="Q7" i="4"/>
  <c r="Q8" i="4"/>
  <c r="Q9" i="4"/>
  <c r="Q10" i="4"/>
  <c r="Q11" i="4"/>
  <c r="Q12" i="4"/>
  <c r="Q13" i="4"/>
  <c r="Q14" i="4"/>
  <c r="Q15" i="4"/>
  <c r="Q16" i="4"/>
  <c r="Q17" i="4"/>
  <c r="Q18" i="4"/>
  <c r="Q19" i="4"/>
  <c r="Q20" i="4"/>
  <c r="Q2" i="4"/>
  <c r="O3" i="4"/>
  <c r="O4" i="4"/>
  <c r="O5" i="4"/>
  <c r="O6" i="4"/>
  <c r="O7" i="4"/>
  <c r="O8" i="4"/>
  <c r="O9" i="4"/>
  <c r="O10" i="4"/>
  <c r="O11" i="4"/>
  <c r="O12" i="4"/>
  <c r="O13" i="4"/>
  <c r="O14" i="4"/>
  <c r="O15" i="4"/>
  <c r="O16" i="4"/>
  <c r="O17" i="4"/>
  <c r="O18" i="4"/>
  <c r="O19" i="4"/>
  <c r="O20" i="4"/>
  <c r="O2" i="4"/>
  <c r="N2" i="4" a="1"/>
  <c r="N2" i="4" s="1"/>
  <c r="M3" i="4"/>
  <c r="M4" i="4"/>
  <c r="M5" i="4"/>
  <c r="M6" i="4"/>
  <c r="M7" i="4"/>
  <c r="M8" i="4"/>
  <c r="M9" i="4"/>
  <c r="M10" i="4"/>
  <c r="M11" i="4"/>
  <c r="M12" i="4"/>
  <c r="M13" i="4"/>
  <c r="M14" i="4"/>
  <c r="M15" i="4"/>
  <c r="M16" i="4"/>
  <c r="M17" i="4"/>
  <c r="M18" i="4"/>
  <c r="M19" i="4"/>
  <c r="M20" i="4"/>
  <c r="M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<sst xmlns="http://schemas.openxmlformats.org/spreadsheetml/2006/main" count="759" uniqueCount="133">
  <si>
    <t>OrderID</t>
  </si>
  <si>
    <t>Department</t>
  </si>
  <si>
    <t>City</t>
  </si>
  <si>
    <t>Product</t>
  </si>
  <si>
    <t>Category</t>
  </si>
  <si>
    <t>Quantity</t>
  </si>
  <si>
    <t>Price</t>
  </si>
  <si>
    <t>OrderDate</t>
  </si>
  <si>
    <t>PaymentMode</t>
  </si>
  <si>
    <t>Rating</t>
  </si>
  <si>
    <t>ManagerCode</t>
  </si>
  <si>
    <t>OD101</t>
  </si>
  <si>
    <t>Electronics</t>
  </si>
  <si>
    <t>Delhi</t>
  </si>
  <si>
    <t>Laptop</t>
  </si>
  <si>
    <t>UPI</t>
  </si>
  <si>
    <t>M101</t>
  </si>
  <si>
    <t>OD102</t>
  </si>
  <si>
    <t>Fashion</t>
  </si>
  <si>
    <t>Mumbai</t>
  </si>
  <si>
    <t>Tshirt</t>
  </si>
  <si>
    <t>Cash</t>
  </si>
  <si>
    <t>M102</t>
  </si>
  <si>
    <t>OD103</t>
  </si>
  <si>
    <t>Grocery</t>
  </si>
  <si>
    <t>Rice Bag</t>
  </si>
  <si>
    <t>Card</t>
  </si>
  <si>
    <t>M103</t>
  </si>
  <si>
    <t>OD104</t>
  </si>
  <si>
    <t>Neha Kapoor</t>
  </si>
  <si>
    <t>Pune</t>
  </si>
  <si>
    <t>Mouse</t>
  </si>
  <si>
    <t>OD105</t>
  </si>
  <si>
    <t>Rohit Singh</t>
  </si>
  <si>
    <t>Jeans</t>
  </si>
  <si>
    <t>OD106</t>
  </si>
  <si>
    <t>Karan Malhotra</t>
  </si>
  <si>
    <t>Sugar</t>
  </si>
  <si>
    <t>OD107</t>
  </si>
  <si>
    <t>Pooja Arora</t>
  </si>
  <si>
    <t>Bangalore</t>
  </si>
  <si>
    <t>Keyboard</t>
  </si>
  <si>
    <t>OD108</t>
  </si>
  <si>
    <t>Shoes</t>
  </si>
  <si>
    <t>OD109</t>
  </si>
  <si>
    <t>Vikas Kumar</t>
  </si>
  <si>
    <t>Wheat</t>
  </si>
  <si>
    <t>OD110</t>
  </si>
  <si>
    <t>Riya Sharma</t>
  </si>
  <si>
    <t>Monitor</t>
  </si>
  <si>
    <t>OD112</t>
  </si>
  <si>
    <t>Simran Kaur</t>
  </si>
  <si>
    <t>Jacket</t>
  </si>
  <si>
    <t>OD113</t>
  </si>
  <si>
    <t>Arjun Patel</t>
  </si>
  <si>
    <t>Oil</t>
  </si>
  <si>
    <t>OD114</t>
  </si>
  <si>
    <t>Tablet</t>
  </si>
  <si>
    <t>OD115</t>
  </si>
  <si>
    <t>Sachin Yadav</t>
  </si>
  <si>
    <t>Cap</t>
  </si>
  <si>
    <t>OD116</t>
  </si>
  <si>
    <t>Kajal Singh</t>
  </si>
  <si>
    <t>Pulses</t>
  </si>
  <si>
    <t>OD117</t>
  </si>
  <si>
    <t>Deepak Kumar</t>
  </si>
  <si>
    <t>Speaker</t>
  </si>
  <si>
    <t>OD118</t>
  </si>
  <si>
    <t>OD119</t>
  </si>
  <si>
    <t>Nitin Arora</t>
  </si>
  <si>
    <t>Flour</t>
  </si>
  <si>
    <t>OD120</t>
  </si>
  <si>
    <t>Ritika Jain</t>
  </si>
  <si>
    <t>Camera</t>
  </si>
  <si>
    <t>Rahul Sharma</t>
  </si>
  <si>
    <t>Priya Mehta</t>
  </si>
  <si>
    <t>Amit Verma</t>
  </si>
  <si>
    <t>Anjali Gupta</t>
  </si>
  <si>
    <t>Meena Joshi</t>
  </si>
  <si>
    <t>Employee name</t>
  </si>
  <si>
    <t>OD</t>
  </si>
  <si>
    <t>Total_sales</t>
  </si>
  <si>
    <t>Performance_status</t>
  </si>
  <si>
    <t>Total_electronics_orders</t>
  </si>
  <si>
    <t>Total_fashion_orders</t>
  </si>
  <si>
    <t>Total_grocery_orders</t>
  </si>
  <si>
    <t>Orders_from_Delhi_and_Electronics</t>
  </si>
  <si>
    <t>Orders _with_ Rating 5_and_ UPI payment</t>
  </si>
  <si>
    <t>Orders_from _Mumbai _and_ Grocery</t>
  </si>
  <si>
    <t>Total_sales_from_Electronics</t>
  </si>
  <si>
    <t>Total_sales_from_Fashion</t>
  </si>
  <si>
    <t>Total_sales_from_grocery</t>
  </si>
  <si>
    <t>Delhi_electronics_sales</t>
  </si>
  <si>
    <t>Mumbai_grocery</t>
  </si>
  <si>
    <t>Upi_payment_sales</t>
  </si>
  <si>
    <t>A_ single _cell _containing _all _cities</t>
  </si>
  <si>
    <t>Employee_id_card</t>
  </si>
  <si>
    <t>ManagerName</t>
  </si>
  <si>
    <t>Region</t>
  </si>
  <si>
    <t>Aman Khanna</t>
  </si>
  <si>
    <t>North</t>
  </si>
  <si>
    <t>Sneha Verma</t>
  </si>
  <si>
    <t>West</t>
  </si>
  <si>
    <t>Rajat Malhotra</t>
  </si>
  <si>
    <t>Central</t>
  </si>
  <si>
    <t>Rahul sharma</t>
  </si>
  <si>
    <t>PRIYA MEHTA</t>
  </si>
  <si>
    <t>amit Verma</t>
  </si>
  <si>
    <t>Total Sales</t>
  </si>
  <si>
    <t>Delhi ,Mumbai ,Delhi ,Pune ,Delhi ,Mumbai ,Bangalore ,Delhi ,Pune ,Delhi ,Mumbai ,Bangalore ,Pune ,Delhi ,Mumbai ,Bangalore ,Delhi ,Pune ,Delhi</t>
  </si>
  <si>
    <t>summary section</t>
  </si>
  <si>
    <t>some formulas work</t>
  </si>
  <si>
    <t>lookup_function</t>
  </si>
  <si>
    <t>order</t>
  </si>
  <si>
    <t>id</t>
  </si>
  <si>
    <t>Grand Total</t>
  </si>
  <si>
    <t>Sales_by_City</t>
  </si>
  <si>
    <t>Sum of Rating</t>
  </si>
  <si>
    <t>Average_rating_by_Department</t>
  </si>
  <si>
    <t>Payment_mode_wise_Sales</t>
  </si>
  <si>
    <t>Sum of Total_sales</t>
  </si>
  <si>
    <t>Sales_by_Department</t>
  </si>
  <si>
    <t>city</t>
  </si>
  <si>
    <t>Retail Sales Dashboard</t>
  </si>
  <si>
    <t>KPI 1</t>
  </si>
  <si>
    <t>KPI 2</t>
  </si>
  <si>
    <t>KPI 4</t>
  </si>
  <si>
    <t>Best city</t>
  </si>
  <si>
    <t>Payment mode</t>
  </si>
  <si>
    <t>EmployeeName</t>
  </si>
  <si>
    <t>ANJALI gupta</t>
  </si>
  <si>
    <t>OD111</t>
  </si>
  <si>
    <t>MEENA Joshi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</si>
</sst>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
  </numFmts>
  <fonts count="11"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48"/>
      <color theme="2"/>
      <name val="Aptos Narrow"/>
      <family val="2"/>
      <scheme val="minor"/>
    </font>
    <font>
      <sz val="36"/>
      <color theme="2"/>
      <name val="Aptos Narrow"/>
      <family val="2"/>
      <scheme val="minor"/>
    </font>
    <font>
      <b/>
      <sz val="14"/>
      <color rgb="FFFFFFFF"/>
      <name val="Aptos Narrow"/>
      <family val="2"/>
      <scheme val="minor"/>
    </font>
    <font>
      <b/>
      <sz val="18"/>
      <color theme="0"/>
      <name val="Aptos Narrow"/>
      <family val="2"/>
      <scheme val="minor"/>
    </font>
    <font>
      <sz val="8"/>
      <name val="Aptos Narrow"/>
      <family val="2"/>
      <scheme val="minor"/>
    </font>
    <font>
      <b/>
      <sz val="12"/>
      <color rgb="FFFFFFFF"/>
      <name val="Aptos Narrow"/>
      <family val="2"/>
      <scheme val="minor"/>
    </font>
    <font>
      <sz val="12"/>
      <color theme="1"/>
      <name val="Aptos Narrow"/>
      <family val="2"/>
      <scheme val="minor"/>
    </font>
  </fonts>
  <fills count="7">
    <fill>
      <patternFill patternType="none"/>
    </fill>
    <fill>
      <patternFill patternType="gray125"/>
    </fill>
    <fill>
      <patternFill patternType="solid">
        <fgColor theme="1"/>
        <bgColor indexed="64"/>
      </patternFill>
    </fill>
    <fill>
      <patternFill patternType="solid">
        <fgColor rgb="FF000000"/>
        <bgColor indexed="64"/>
      </patternFill>
    </fill>
    <fill>
      <patternFill patternType="solid">
        <fgColor rgb="FF2E31A2"/>
        <bgColor indexed="64"/>
      </patternFill>
    </fill>
    <fill>
      <patternFill patternType="solid">
        <fgColor rgb="FFC00000"/>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1">
    <xf numFmtId="0" fontId="0" fillId="0" borderId="0"/>
  </cellStyleXfs>
  <cellXfs count="28">
    <xf numFmtId="0" fontId="0" fillId="0" borderId="0" xfId="0"/>
    <xf numFmtId="14" fontId="0" fillId="0" borderId="0" xfId="0" applyNumberFormat="1"/>
    <xf numFmtId="164" fontId="0" fillId="0" borderId="0" xfId="0" applyNumberFormat="1"/>
    <xf numFmtId="0" fontId="0" fillId="0" borderId="1" xfId="0" applyBorder="1"/>
    <xf numFmtId="0" fontId="0" fillId="0" borderId="2" xfId="0" applyBorder="1"/>
    <xf numFmtId="164" fontId="0" fillId="0" borderId="0" xfId="0" applyNumberFormat="1" applyAlignment="1">
      <alignment horizontal="center" vertical="center"/>
    </xf>
    <xf numFmtId="0" fontId="0" fillId="0" borderId="3" xfId="0" applyBorder="1"/>
    <xf numFmtId="0" fontId="6" fillId="2" borderId="0" xfId="0" applyFont="1" applyFill="1"/>
    <xf numFmtId="164" fontId="6" fillId="2" borderId="0" xfId="0" applyNumberFormat="1" applyFont="1" applyFill="1"/>
    <xf numFmtId="14" fontId="6" fillId="2" borderId="0" xfId="0" applyNumberFormat="1" applyFont="1" applyFill="1"/>
    <xf numFmtId="0" fontId="6" fillId="2" borderId="1" xfId="0" applyFont="1" applyFill="1" applyBorder="1"/>
    <xf numFmtId="0" fontId="6" fillId="2" borderId="4" xfId="0" applyFont="1" applyFill="1" applyBorder="1"/>
    <xf numFmtId="164" fontId="0" fillId="0" borderId="4" xfId="0" applyNumberFormat="1" applyBorder="1"/>
    <xf numFmtId="164" fontId="0" fillId="0" borderId="5" xfId="0" applyNumberFormat="1" applyBorder="1"/>
    <xf numFmtId="0" fontId="0" fillId="0" borderId="0" xfId="0" pivotButton="1"/>
    <xf numFmtId="0" fontId="0" fillId="0" borderId="0" xfId="0" applyAlignment="1">
      <alignment horizontal="left"/>
    </xf>
    <xf numFmtId="0" fontId="3" fillId="4" borderId="0" xfId="0" applyFont="1" applyFill="1" applyAlignment="1">
      <alignment horizontal="center" vertical="center"/>
    </xf>
    <xf numFmtId="0" fontId="0" fillId="0" borderId="0" xfId="0" applyAlignment="1">
      <alignment horizontal="center"/>
    </xf>
    <xf numFmtId="15" fontId="0" fillId="0" borderId="0" xfId="0" applyNumberFormat="1"/>
    <xf numFmtId="0" fontId="7" fillId="4" borderId="0" xfId="0" applyFont="1" applyFill="1" applyAlignment="1">
      <alignment horizontal="center" vertical="center"/>
    </xf>
    <xf numFmtId="0" fontId="0" fillId="0" borderId="0" xfId="0" applyAlignment="1">
      <alignment horizontal="center"/>
    </xf>
    <xf numFmtId="0" fontId="2" fillId="0" borderId="0" xfId="0" applyFont="1" applyAlignment="1">
      <alignment horizontal="center" vertical="center"/>
    </xf>
    <xf numFmtId="0" fontId="4" fillId="2" borderId="0" xfId="0" applyFont="1" applyFill="1" applyAlignment="1">
      <alignment horizontal="center" vertical="center"/>
    </xf>
    <xf numFmtId="164" fontId="5" fillId="2" borderId="0" xfId="0" applyNumberFormat="1" applyFont="1" applyFill="1" applyAlignment="1">
      <alignment horizontal="center" vertical="center"/>
    </xf>
    <xf numFmtId="0" fontId="5" fillId="3" borderId="0" xfId="0" applyFont="1" applyFill="1" applyAlignment="1">
      <alignment horizontal="center" vertical="center"/>
    </xf>
    <xf numFmtId="0" fontId="1" fillId="4" borderId="0" xfId="0" applyFont="1" applyFill="1" applyAlignment="1">
      <alignment horizontal="center" vertical="center"/>
    </xf>
    <xf numFmtId="0" fontId="9" fillId="5" borderId="0" xfId="0" applyFont="1" applyFill="1"/>
    <xf numFmtId="0" fontId="10" fillId="6" borderId="0" xfId="0" applyFont="1" applyFill="1"/>
  </cellXfs>
  <cellStyles count="1">
    <cellStyle name="Normal" xfId="0" builtinId="0"/>
  </cellStyles>
  <dxfs count="7">
    <dxf>
      <numFmt numFmtId="19" formatCode="dd/mm/yyyy"/>
    </dxf>
    <dxf>
      <numFmt numFmtId="164" formatCode="&quot;₹&quot;\ #,##0.0"/>
    </dxf>
    <dxf>
      <border outline="0">
        <right style="thin">
          <color indexed="64"/>
        </right>
      </border>
    </dxf>
    <dxf>
      <numFmt numFmtId="19" formatCode="dd/mm/yyyy"/>
    </dxf>
    <dxf>
      <numFmt numFmtId="164" formatCode="&quot;₹&quot;\ #,##0.0"/>
    </dxf>
    <dxf>
      <border outline="0">
        <right style="thin">
          <color indexed="64"/>
        </right>
      </border>
    </dxf>
    <dxf>
      <font>
        <b/>
        <i val="0"/>
        <strike val="0"/>
        <condense val="0"/>
        <extend val="0"/>
        <outline val="0"/>
        <shadow val="0"/>
        <u val="none"/>
        <vertAlign val="baseline"/>
        <sz val="14"/>
        <color rgb="FFFFFFFF"/>
        <name val="Aptos Narrow"/>
        <family val="2"/>
        <scheme val="minor"/>
      </font>
      <fill>
        <patternFill patternType="solid">
          <fgColor indexed="64"/>
          <bgColor theme="1"/>
        </patternFill>
      </fill>
    </dxf>
  </dxfs>
  <tableStyles count="0" defaultTableStyle="TableStyleMedium2" defaultPivotStyle="PivotStyleLight16"/>
  <colors>
    <mruColors>
      <color rgb="FFFFFFFF"/>
      <color rgb="FF2E31A2"/>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[nova_reatail_project.xlsx]Pivot_Reports!PivotTable5</c:name>
    <c:fmtId val="30"/>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Total sales</a:t>
            </a:r>
            <a:r>
              <a:rPr lang="en-US" b="1" baseline="0">
                <a:solidFill>
                  <a:srgbClr val="FF0000"/>
                </a:solidFill>
              </a:rPr>
              <a:t> by department</a:t>
            </a:r>
          </a:p>
          <a:p>
            <a:pPr>
              <a:defRPr b="1">
                <a:solidFill>
                  <a:srgbClr val="FF0000"/>
                </a:solidFill>
              </a:defRPr>
            </a:pPr>
            <a:endParaRPr lang="en-US" b="1">
              <a:solidFill>
                <a:srgbClr val="FF0000"/>
              </a:solidFill>
            </a:endParaRPr>
          </a:p>
        </c:rich>
      </c:tx>
      <c:layout>
        <c:manualLayout>
          <c:xMode val="edge"/>
          <c:yMode val="edge"/>
          <c:x val="0.2253375746984245"/>
          <c:y val="3.292740170702847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9.7222222222222238E-2"/>
              <c:y val="-3.933799941673957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3819444444444446"/>
                  <c:h val="0.11921296296296297"/>
                </c:manualLayout>
              </c15:layout>
            </c:ext>
          </c:extLst>
        </c:dLbl>
      </c:pivotFmt>
      <c:pivotFmt>
        <c:idx val="2"/>
        <c:spPr>
          <a:solidFill>
            <a:schemeClr val="accent2"/>
          </a:solidFill>
          <a:ln w="19050">
            <a:solidFill>
              <a:schemeClr val="lt1"/>
            </a:solidFill>
          </a:ln>
          <a:effectLst/>
        </c:spPr>
        <c:dLbl>
          <c:idx val="0"/>
          <c:layout>
            <c:manualLayout>
              <c:x val="-3.6111111111111108E-2"/>
              <c:y val="0.16577737678623505"/>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5763888888888888"/>
                  <c:h val="0.17824074074074073"/>
                </c:manualLayout>
              </c15:layout>
            </c:ext>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3.6111111111111108E-2"/>
              <c:y val="0.16577737678623505"/>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5763888888888888"/>
                  <c:h val="0.17824074074074073"/>
                </c:manualLayout>
              </c15:layout>
            </c:ext>
          </c:extLst>
        </c:dLbl>
      </c:pivotFmt>
      <c:pivotFmt>
        <c:idx val="7"/>
        <c:spPr>
          <a:solidFill>
            <a:schemeClr val="accent1"/>
          </a:solidFill>
          <a:ln w="19050">
            <a:solidFill>
              <a:schemeClr val="lt1"/>
            </a:solidFill>
          </a:ln>
          <a:effectLst/>
        </c:spPr>
        <c:dLbl>
          <c:idx val="0"/>
          <c:layout>
            <c:manualLayout>
              <c:x val="9.7222222222222238E-2"/>
              <c:y val="-3.933799941673957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3819444444444446"/>
                  <c:h val="0.11921296296296297"/>
                </c:manualLayout>
              </c15:layout>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7058823529411763"/>
              <c:y val="-0.13500805253462655"/>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46666666666666667"/>
                  <c:h val="0.28390532007659153"/>
                </c:manualLayout>
              </c15:layout>
            </c:ext>
          </c:extLst>
        </c:dLbl>
      </c:pivotFmt>
      <c:pivotFmt>
        <c:idx val="10"/>
        <c:spPr>
          <a:solidFill>
            <a:schemeClr val="accent1"/>
          </a:solidFill>
          <a:ln w="19050">
            <a:solidFill>
              <a:schemeClr val="lt1"/>
            </a:solidFill>
          </a:ln>
          <a:effectLst/>
        </c:spPr>
        <c:dLbl>
          <c:idx val="0"/>
          <c:layout>
            <c:manualLayout>
              <c:x val="-1.2560338925025677E-2"/>
              <c:y val="2.6888421494139961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647951614743805"/>
                  <c:h val="0.21092043992860632"/>
                </c:manualLayout>
              </c15:layout>
            </c:ext>
          </c:extLst>
        </c:dLbl>
      </c:pivotFmt>
      <c:pivotFmt>
        <c:idx val="11"/>
        <c:spPr>
          <a:solidFill>
            <a:schemeClr val="accent1"/>
          </a:solidFill>
          <a:ln w="19050">
            <a:solidFill>
              <a:schemeClr val="lt1"/>
            </a:solidFill>
          </a:ln>
          <a:effectLst/>
        </c:spPr>
        <c:dLbl>
          <c:idx val="0"/>
          <c:layout>
            <c:manualLayout>
              <c:x val="0.12983089410019399"/>
              <c:y val="-2.7083127950176381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40341178820038798"/>
                  <c:h val="0.14372270589608935"/>
                </c:manualLayout>
              </c15:layout>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27058823529411763"/>
              <c:y val="-0.13500805253462655"/>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46666666666666667"/>
                  <c:h val="0.28390532007659153"/>
                </c:manualLayout>
              </c15:layout>
            </c:ext>
          </c:extLst>
        </c:dLbl>
      </c:pivotFmt>
      <c:pivotFmt>
        <c:idx val="14"/>
        <c:spPr>
          <a:solidFill>
            <a:schemeClr val="accent1"/>
          </a:solidFill>
          <a:ln w="19050">
            <a:solidFill>
              <a:schemeClr val="lt1"/>
            </a:solidFill>
          </a:ln>
          <a:effectLst/>
        </c:spPr>
        <c:dLbl>
          <c:idx val="0"/>
          <c:layout>
            <c:manualLayout>
              <c:x val="0.12983089410019399"/>
              <c:y val="-2.7083127950176381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40341178820038798"/>
                  <c:h val="0.14372270589608935"/>
                </c:manualLayout>
              </c15:layout>
            </c:ext>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27058823529411763"/>
              <c:y val="-0.13500805253462655"/>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46666666666666667"/>
                  <c:h val="0.28390532007659153"/>
                </c:manualLayout>
              </c15:layout>
            </c:ext>
          </c:extLst>
        </c:dLbl>
      </c:pivotFmt>
      <c:pivotFmt>
        <c:idx val="17"/>
        <c:spPr>
          <a:solidFill>
            <a:schemeClr val="accent1"/>
          </a:solidFill>
          <a:ln w="19050">
            <a:solidFill>
              <a:schemeClr val="lt1"/>
            </a:solidFill>
          </a:ln>
          <a:effectLst/>
        </c:spPr>
        <c:dLbl>
          <c:idx val="0"/>
          <c:layout>
            <c:manualLayout>
              <c:x val="0.12983089410019399"/>
              <c:y val="-2.7083127950176381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40341178820038798"/>
                  <c:h val="0.14372270589608935"/>
                </c:manualLayout>
              </c15:layout>
            </c:ext>
          </c:extLst>
        </c:dLbl>
      </c:pivotFmt>
      <c:pivotFmt>
        <c:idx val="18"/>
        <c:spPr>
          <a:solidFill>
            <a:schemeClr val="accent1"/>
          </a:solidFill>
          <a:ln w="19050">
            <a:solidFill>
              <a:schemeClr val="lt1"/>
            </a:solidFill>
          </a:ln>
          <a:effectLst/>
        </c:spPr>
      </c:pivotFmt>
    </c:pivotFmts>
    <c:plotArea>
      <c:layout>
        <c:manualLayout>
          <c:layoutTarget val="inner"/>
          <c:xMode val="edge"/>
          <c:yMode val="edge"/>
          <c:x val="0.19110033315660979"/>
          <c:y val="0.27022980754609705"/>
          <c:w val="0.61779933368678042"/>
          <c:h val="0.62402401211183611"/>
        </c:manualLayout>
      </c:layout>
      <c:pieChart>
        <c:varyColors val="1"/>
        <c:ser>
          <c:idx val="0"/>
          <c:order val="0"/>
          <c:tx>
            <c:strRef>
              <c:f>Pivot_Reports!$C$26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36-47AB-AE96-C4E7959E51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36-47AB-AE96-C4E7959E51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36-47AB-AE96-C4E7959E51CC}"/>
              </c:ext>
            </c:extLst>
          </c:dPt>
          <c:dLbls>
            <c:dLbl>
              <c:idx val="0"/>
              <c:layout>
                <c:manualLayout>
                  <c:x val="-0.27058823529411763"/>
                  <c:y val="-0.13500805253462655"/>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46666666666666667"/>
                      <c:h val="0.28390532007659153"/>
                    </c:manualLayout>
                  </c15:layout>
                </c:ext>
                <c:ext xmlns:c16="http://schemas.microsoft.com/office/drawing/2014/chart" uri="{C3380CC4-5D6E-409C-BE32-E72D297353CC}">
                  <c16:uniqueId val="{00000001-6636-47AB-AE96-C4E7959E51CC}"/>
                </c:ext>
              </c:extLst>
            </c:dLbl>
            <c:dLbl>
              <c:idx val="2"/>
              <c:layout>
                <c:manualLayout>
                  <c:x val="0.12983089410019399"/>
                  <c:y val="-2.7083127950176381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40341178820038798"/>
                      <c:h val="0.14372270589608935"/>
                    </c:manualLayout>
                  </c15:layout>
                </c:ext>
                <c:ext xmlns:c16="http://schemas.microsoft.com/office/drawing/2014/chart" uri="{C3380CC4-5D6E-409C-BE32-E72D297353CC}">
                  <c16:uniqueId val="{00000005-6636-47AB-AE96-C4E7959E51C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Pivot_Reports!$B$27:$B$30</c:f>
              <c:strCache>
                <c:ptCount val="3"/>
                <c:pt idx="0">
                  <c:v>Electronics</c:v>
                </c:pt>
                <c:pt idx="1">
                  <c:v>Fashion</c:v>
                </c:pt>
                <c:pt idx="2">
                  <c:v>Grocery</c:v>
                </c:pt>
              </c:strCache>
            </c:strRef>
          </c:cat>
          <c:val>
            <c:numRef>
              <c:f>Pivot_Reports!$C$27:$C$30</c:f>
              <c:numCache>
                <c:formatCode>"₹"\ #,##0.0</c:formatCode>
                <c:ptCount val="3"/>
                <c:pt idx="0">
                  <c:v>239480</c:v>
                </c:pt>
                <c:pt idx="1">
                  <c:v>35872</c:v>
                </c:pt>
                <c:pt idx="2">
                  <c:v>34650</c:v>
                </c:pt>
              </c:numCache>
            </c:numRef>
          </c:val>
          <c:extLst>
            <c:ext xmlns:c16="http://schemas.microsoft.com/office/drawing/2014/chart" uri="{C3380CC4-5D6E-409C-BE32-E72D297353CC}">
              <c16:uniqueId val="{00000006-6636-47AB-AE96-C4E7959E51C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[nova_reatail_project.xlsx]Pivot_Reports!PivotTable8</c:name>
    <c:fmtId val="17"/>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sz="1400" b="1">
                <a:solidFill>
                  <a:srgbClr val="FF0000"/>
                </a:solidFill>
              </a:rPr>
              <a:t>Sum</a:t>
            </a:r>
            <a:r>
              <a:rPr lang="en-US" sz="1400" b="1" baseline="0">
                <a:solidFill>
                  <a:srgbClr val="FF0000"/>
                </a:solidFill>
              </a:rPr>
              <a:t> of total sales by payment mode</a:t>
            </a:r>
            <a:endParaRPr lang="en-US" sz="1400" b="1">
              <a:solidFill>
                <a:srgbClr val="FF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844444444444439"/>
                  <c:h val="0.17102713178294573"/>
                </c:manualLayout>
              </c15:layout>
            </c:ext>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288901387326585"/>
                  <c:h val="0.31367770838989956"/>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844444444444439"/>
                  <c:h val="0.17102713178294573"/>
                </c:manualLayout>
              </c15:layout>
            </c:ext>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288901387326585"/>
                  <c:h val="0.31367770838989956"/>
                </c:manualLayout>
              </c15:layout>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844444444444439"/>
                  <c:h val="0.17102713178294573"/>
                </c:manualLayout>
              </c15:layout>
            </c:ext>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288901387326585"/>
                  <c:h val="0.31367770838989956"/>
                </c:manualLayout>
              </c15:layout>
            </c:ext>
          </c:extLst>
        </c:dLbl>
      </c:pivotFmt>
    </c:pivotFmts>
    <c:plotArea>
      <c:layout>
        <c:manualLayout>
          <c:layoutTarget val="inner"/>
          <c:xMode val="edge"/>
          <c:yMode val="edge"/>
          <c:x val="5.0987897636513763E-2"/>
          <c:y val="0.16771959558699173"/>
          <c:w val="0.93596768345593251"/>
          <c:h val="0.78253881499653732"/>
        </c:manualLayout>
      </c:layout>
      <c:barChart>
        <c:barDir val="bar"/>
        <c:grouping val="clustered"/>
        <c:varyColors val="0"/>
        <c:ser>
          <c:idx val="0"/>
          <c:order val="0"/>
          <c:tx>
            <c:strRef>
              <c:f>Pivot_Reports!$L$26</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1-43E0-4511-A0BA-EEDC21D2AB22}"/>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0-D319-40F2-9C9B-DCDD70550994}"/>
              </c:ext>
            </c:extLst>
          </c:dPt>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844444444444439"/>
                      <c:h val="0.17102713178294573"/>
                    </c:manualLayout>
                  </c15:layout>
                </c:ext>
                <c:ext xmlns:c16="http://schemas.microsoft.com/office/drawing/2014/chart" uri="{C3380CC4-5D6E-409C-BE32-E72D297353CC}">
                  <c16:uniqueId val="{00000001-43E0-4511-A0BA-EEDC21D2AB22}"/>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288901387326585"/>
                      <c:h val="0.31367770838989956"/>
                    </c:manualLayout>
                  </c15:layout>
                </c:ext>
                <c:ext xmlns:c16="http://schemas.microsoft.com/office/drawing/2014/chart" uri="{C3380CC4-5D6E-409C-BE32-E72D297353CC}">
                  <c16:uniqueId val="{00000000-D319-40F2-9C9B-DCDD7055099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Pivot_Reports!$K$27:$K$30</c:f>
              <c:strCache>
                <c:ptCount val="3"/>
                <c:pt idx="0">
                  <c:v>Card</c:v>
                </c:pt>
                <c:pt idx="1">
                  <c:v>Cash</c:v>
                </c:pt>
                <c:pt idx="2">
                  <c:v>UPI</c:v>
                </c:pt>
              </c:strCache>
            </c:strRef>
          </c:cat>
          <c:val>
            <c:numRef>
              <c:f>Pivot_Reports!$L$27:$L$30</c:f>
              <c:numCache>
                <c:formatCode>"₹"\ #,##0.0</c:formatCode>
                <c:ptCount val="3"/>
                <c:pt idx="0">
                  <c:v>30581</c:v>
                </c:pt>
                <c:pt idx="1">
                  <c:v>39941</c:v>
                </c:pt>
                <c:pt idx="2">
                  <c:v>239480</c:v>
                </c:pt>
              </c:numCache>
            </c:numRef>
          </c:val>
          <c:extLst>
            <c:ext xmlns:c16="http://schemas.microsoft.com/office/drawing/2014/chart" uri="{C3380CC4-5D6E-409C-BE32-E72D297353CC}">
              <c16:uniqueId val="{00000002-43E0-4511-A0BA-EEDC21D2AB22}"/>
            </c:ext>
          </c:extLst>
        </c:ser>
        <c:dLbls>
          <c:showLegendKey val="0"/>
          <c:showVal val="0"/>
          <c:showCatName val="0"/>
          <c:showSerName val="0"/>
          <c:showPercent val="0"/>
          <c:showBubbleSize val="0"/>
        </c:dLbls>
        <c:gapWidth val="182"/>
        <c:axId val="700077471"/>
        <c:axId val="700078911"/>
      </c:barChart>
      <c:catAx>
        <c:axId val="700077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00078911"/>
        <c:crosses val="autoZero"/>
        <c:auto val="1"/>
        <c:lblAlgn val="ctr"/>
        <c:lblOffset val="100"/>
        <c:noMultiLvlLbl val="0"/>
      </c:catAx>
      <c:valAx>
        <c:axId val="700078911"/>
        <c:scaling>
          <c:orientation val="minMax"/>
        </c:scaling>
        <c:delete val="1"/>
        <c:axPos val="b"/>
        <c:numFmt formatCode="&quot;₹&quot;\ #,##0.0" sourceLinked="1"/>
        <c:majorTickMark val="none"/>
        <c:minorTickMark val="none"/>
        <c:tickLblPos val="nextTo"/>
        <c:crossAx val="70007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[nova_reatail_project.xlsx]Pivot_Reports!PivotTable6</c:name>
    <c:fmtId val="9"/>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Total</a:t>
            </a:r>
            <a:r>
              <a:rPr lang="en-US" b="1" baseline="0">
                <a:solidFill>
                  <a:srgbClr val="FF0000"/>
                </a:solidFill>
              </a:rPr>
              <a:t> sales by city</a:t>
            </a:r>
            <a:endParaRPr lang="en-US" b="1">
              <a:solidFill>
                <a:srgbClr val="FF0000"/>
              </a:solidFill>
            </a:endParaRPr>
          </a:p>
        </c:rich>
      </c:tx>
      <c:layout>
        <c:manualLayout>
          <c:xMode val="edge"/>
          <c:yMode val="edge"/>
          <c:x val="0.30542248835662011"/>
          <c:y val="9.664629728032463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904522613065322"/>
                  <c:h val="0.20115681233933158"/>
                </c:manualLayout>
              </c15:layout>
            </c:ext>
          </c:extLst>
        </c:dLbl>
      </c:pivotFmt>
      <c:pivotFmt>
        <c:idx val="4"/>
        <c:spPr>
          <a:solidFill>
            <a:schemeClr val="accent1"/>
          </a:solidFill>
          <a:ln>
            <a:noFill/>
          </a:ln>
          <a:effectLst/>
        </c:spPr>
        <c:dLbl>
          <c:idx val="0"/>
          <c:layout>
            <c:manualLayout>
              <c:x val="0.10050267742914031"/>
              <c:y val="4.2846588263870614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810720268006695"/>
                  <c:h val="0.20115681233933158"/>
                </c:manualLayout>
              </c15:layout>
            </c:ext>
          </c:extLst>
        </c:dLbl>
      </c:pivotFmt>
      <c:pivotFmt>
        <c:idx val="5"/>
        <c:dLbl>
          <c:idx val="0"/>
          <c:layout>
            <c:manualLayout>
              <c:x val="1.3097165249553386E-7"/>
              <c:y val="2.0127852107272166E-7"/>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742043551088778"/>
                  <c:h val="0.2268637532133676"/>
                </c:manualLayout>
              </c15:layout>
            </c:ext>
          </c:extLst>
        </c:dLbl>
      </c:pivotFmt>
      <c:pivotFmt>
        <c:idx val="6"/>
        <c:dLbl>
          <c:idx val="0"/>
          <c:layout>
            <c:manualLayout>
              <c:x val="-7.956432424590143E-2"/>
              <c:y val="-7.8548078609891983E-17"/>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904522613065322"/>
                  <c:h val="0.26113967437874891"/>
                </c:manualLayout>
              </c15:layout>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0050267742914031"/>
              <c:y val="4.2846588263870614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810720268006695"/>
                  <c:h val="0.20115681233933158"/>
                </c:manualLayout>
              </c15:layout>
            </c:ext>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10050267742914031"/>
              <c:y val="4.2846588263870614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810720268006695"/>
                  <c:h val="0.20115681233933158"/>
                </c:manualLayout>
              </c15:layout>
            </c:ext>
          </c:extLst>
        </c:dLbl>
      </c:pivotFmt>
    </c:pivotFmts>
    <c:plotArea>
      <c:layout>
        <c:manualLayout>
          <c:layoutTarget val="inner"/>
          <c:xMode val="edge"/>
          <c:yMode val="edge"/>
          <c:x val="0.15276151096690804"/>
          <c:y val="0.3822895370726474"/>
          <c:w val="0.68865048118985128"/>
          <c:h val="0.53811424613589964"/>
        </c:manualLayout>
      </c:layout>
      <c:barChart>
        <c:barDir val="col"/>
        <c:grouping val="clustered"/>
        <c:varyColors val="0"/>
        <c:ser>
          <c:idx val="0"/>
          <c:order val="0"/>
          <c:tx>
            <c:strRef>
              <c:f>Pivot_Reports!$F$26</c:f>
              <c:strCache>
                <c:ptCount val="1"/>
                <c:pt idx="0">
                  <c:v>Total</c:v>
                </c:pt>
              </c:strCache>
            </c:strRef>
          </c:tx>
          <c:spPr>
            <a:solidFill>
              <a:schemeClr val="accent1"/>
            </a:solidFill>
            <a:ln>
              <a:noFill/>
            </a:ln>
            <a:effectLst/>
          </c:spPr>
          <c:invertIfNegative val="0"/>
          <c:dPt>
            <c:idx val="3"/>
            <c:invertIfNegative val="0"/>
            <c:bubble3D val="0"/>
            <c:spPr>
              <a:solidFill>
                <a:schemeClr val="accent1"/>
              </a:solidFill>
              <a:ln>
                <a:noFill/>
              </a:ln>
              <a:effectLst/>
            </c:spPr>
            <c:extLst>
              <c:ext xmlns:c16="http://schemas.microsoft.com/office/drawing/2014/chart" uri="{C3380CC4-5D6E-409C-BE32-E72D297353CC}">
                <c16:uniqueId val="{00000000-3AAB-470C-A306-4AF65240569D}"/>
              </c:ext>
            </c:extLst>
          </c:dPt>
          <c:dLbls>
            <c:dLbl>
              <c:idx val="3"/>
              <c:layout>
                <c:manualLayout>
                  <c:x val="0.10050267742914031"/>
                  <c:y val="4.2846588263870614E-3"/>
                </c:manualLayout>
              </c:layout>
              <c:showLegendKey val="0"/>
              <c:showVal val="1"/>
              <c:showCatName val="0"/>
              <c:showSerName val="0"/>
              <c:showPercent val="0"/>
              <c:showBubbleSize val="0"/>
              <c:extLst>
                <c:ext xmlns:c15="http://schemas.microsoft.com/office/drawing/2012/chart" uri="{CE6537A1-D6FC-4f65-9D91-7224C49458BB}">
                  <c15:layout>
                    <c:manualLayout>
                      <c:w val="0.28810720268006695"/>
                      <c:h val="0.20115681233933158"/>
                    </c:manualLayout>
                  </c15:layout>
                </c:ext>
                <c:ext xmlns:c16="http://schemas.microsoft.com/office/drawing/2014/chart" uri="{C3380CC4-5D6E-409C-BE32-E72D297353CC}">
                  <c16:uniqueId val="{00000000-3AAB-470C-A306-4AF65240569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Pivot_Reports!$E$27:$E$31</c:f>
              <c:strCache>
                <c:ptCount val="4"/>
                <c:pt idx="0">
                  <c:v>Bangalore</c:v>
                </c:pt>
                <c:pt idx="1">
                  <c:v>Delhi</c:v>
                </c:pt>
                <c:pt idx="2">
                  <c:v>Mumbai</c:v>
                </c:pt>
                <c:pt idx="3">
                  <c:v>Pune</c:v>
                </c:pt>
              </c:strCache>
            </c:strRef>
          </c:cat>
          <c:val>
            <c:numRef>
              <c:f>Pivot_Reports!$F$27:$F$31</c:f>
              <c:numCache>
                <c:formatCode>"₹"\ #,##0.0</c:formatCode>
                <c:ptCount val="4"/>
                <c:pt idx="0">
                  <c:v>30990</c:v>
                </c:pt>
                <c:pt idx="1">
                  <c:v>192480</c:v>
                </c:pt>
                <c:pt idx="2">
                  <c:v>22992</c:v>
                </c:pt>
                <c:pt idx="3">
                  <c:v>63540</c:v>
                </c:pt>
              </c:numCache>
            </c:numRef>
          </c:val>
          <c:extLst>
            <c:ext xmlns:c16="http://schemas.microsoft.com/office/drawing/2014/chart" uri="{C3380CC4-5D6E-409C-BE32-E72D297353CC}">
              <c16:uniqueId val="{00000001-A06E-43F8-9364-244FD560997A}"/>
            </c:ext>
          </c:extLst>
        </c:ser>
        <c:dLbls>
          <c:showLegendKey val="0"/>
          <c:showVal val="0"/>
          <c:showCatName val="0"/>
          <c:showSerName val="0"/>
          <c:showPercent val="0"/>
          <c:showBubbleSize val="0"/>
        </c:dLbls>
        <c:gapWidth val="219"/>
        <c:overlap val="-27"/>
        <c:axId val="839929743"/>
        <c:axId val="839930223"/>
      </c:barChart>
      <c:catAx>
        <c:axId val="83992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839930223"/>
        <c:crosses val="autoZero"/>
        <c:auto val="1"/>
        <c:lblAlgn val="ctr"/>
        <c:lblOffset val="100"/>
        <c:noMultiLvlLbl val="0"/>
      </c:catAx>
      <c:valAx>
        <c:axId val="839930223"/>
        <c:scaling>
          <c:orientation val="minMax"/>
        </c:scaling>
        <c:delete val="1"/>
        <c:axPos val="l"/>
        <c:numFmt formatCode="&quot;₹&quot;\ #,##0.0" sourceLinked="1"/>
        <c:majorTickMark val="none"/>
        <c:minorTickMark val="none"/>
        <c:tickLblPos val="nextTo"/>
        <c:crossAx val="83992974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21771</xdr:rowOff>
    </xdr:from>
    <xdr:to>
      <xdr:col>4</xdr:col>
      <xdr:colOff>594359</xdr:colOff>
      <xdr:row>20</xdr:row>
      <xdr:rowOff>177437</xdr:rowOff>
    </xdr:to>
    <xdr:graphicFrame macro="">
      <xdr:nvGraphicFramePr>
        <xdr:cNvPr id="3" name="Chart 2">
          <a:extLst>
            <a:ext uri="{FF2B5EF4-FFF2-40B4-BE49-F238E27FC236}">
              <a16:creationId xmlns:a16="http://schemas.microsoft.com/office/drawing/2014/main" id="{6EA838D1-E074-48AD-B209-57EBDAC51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555171</xdr:colOff>
      <xdr:row>5</xdr:row>
      <xdr:rowOff>0</xdr:rowOff>
    </xdr:from>
    <xdr:to>
      <xdr:col>30</xdr:col>
      <xdr:colOff>10887</xdr:colOff>
      <xdr:row>20</xdr:row>
      <xdr:rowOff>32658</xdr:rowOff>
    </xdr:to>
    <xdr:graphicFrame macro="">
      <xdr:nvGraphicFramePr>
        <xdr:cNvPr id="5" name="Chart 4">
          <a:extLst>
            <a:ext uri="{FF2B5EF4-FFF2-40B4-BE49-F238E27FC236}">
              <a16:creationId xmlns:a16="http://schemas.microsoft.com/office/drawing/2014/main" id="{57549FFB-55BB-48E8-8477-DB72D6335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119743</xdr:colOff>
      <xdr:row>25</xdr:row>
      <xdr:rowOff>21769</xdr:rowOff>
    </xdr:from>
    <xdr:to>
      <xdr:col>19</xdr:col>
      <xdr:colOff>359228</xdr:colOff>
      <xdr:row>42</xdr:row>
      <xdr:rowOff>102645</xdr:rowOff>
    </xdr:to>
    <xdr:graphicFrame macro="">
      <xdr:nvGraphicFramePr>
        <xdr:cNvPr id="6" name="Chart 5">
          <a:extLst>
            <a:ext uri="{FF2B5EF4-FFF2-40B4-BE49-F238E27FC236}">
              <a16:creationId xmlns:a16="http://schemas.microsoft.com/office/drawing/2014/main" id="{8FF9A1F7-BE8B-419E-8F84-BA59CA757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304800</xdr:colOff>
      <xdr:row>23</xdr:row>
      <xdr:rowOff>152400</xdr:rowOff>
    </xdr:from>
    <xdr:to>
      <xdr:col>27</xdr:col>
      <xdr:colOff>174170</xdr:colOff>
      <xdr:row>38</xdr:row>
      <xdr:rowOff>97971</xdr:rowOff>
    </xdr:to>
    <mc:AlternateContent xmlns:mc="http://schemas.openxmlformats.org/markup-compatibility/2006">
      <mc:Choice xmlns:a14="http://schemas.microsoft.com/office/drawing/2010/main" Requires="a14">
        <xdr:graphicFrame macro="">
          <xdr:nvGraphicFramePr>
            <xdr:cNvPr id="7" name="City 2">
              <a:extLst>
                <a:ext uri="{FF2B5EF4-FFF2-40B4-BE49-F238E27FC236}">
                  <a16:creationId xmlns:a16="http://schemas.microsoft.com/office/drawing/2014/main" id="{9A154B62-5B1C-4D29-A990-906D59A2AD44}"/>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16397785" y="4337713"/>
              <a:ext cx="2325967" cy="2675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13853</xdr:colOff>
      <xdr:row>6</xdr:row>
      <xdr:rowOff>41562</xdr:rowOff>
    </xdr:from>
    <xdr:to>
      <xdr:col>9</xdr:col>
      <xdr:colOff>217714</xdr:colOff>
      <xdr:row>21</xdr:row>
      <xdr:rowOff>4947</xdr:rowOff>
    </xdr:to>
    <mc:AlternateContent xmlns:mc="http://schemas.openxmlformats.org/markup-compatibility/2006" xmlns:a14="http://schemas.microsoft.com/office/drawing/2010/main">
      <mc:Choice Requires="a14">
        <xdr:graphicFrame macro="">
          <xdr:nvGraphicFramePr>
            <xdr:cNvPr id="8" name="Department 1">
              <a:extLst>
                <a:ext uri="{FF2B5EF4-FFF2-40B4-BE49-F238E27FC236}">
                  <a16:creationId xmlns:a16="http://schemas.microsoft.com/office/drawing/2014/main" id="{930878B8-A20A-49A1-965F-24012B92B19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4364181" y="1122217"/>
              <a:ext cx="1832758" cy="2660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21772</xdr:colOff>
      <xdr:row>6</xdr:row>
      <xdr:rowOff>35626</xdr:rowOff>
    </xdr:from>
    <xdr:to>
      <xdr:col>13</xdr:col>
      <xdr:colOff>598714</xdr:colOff>
      <xdr:row>20</xdr:row>
      <xdr:rowOff>174171</xdr:rowOff>
    </xdr:to>
    <mc:AlternateContent xmlns:mc="http://schemas.openxmlformats.org/markup-compatibility/2006">
      <mc:Choice xmlns:a14="http://schemas.microsoft.com/office/drawing/2010/main" Requires="a14">
        <xdr:graphicFrame macro="">
          <xdr:nvGraphicFramePr>
            <xdr:cNvPr id="9" name="PaymentMode 1">
              <a:extLst>
                <a:ext uri="{FF2B5EF4-FFF2-40B4-BE49-F238E27FC236}">
                  <a16:creationId xmlns:a16="http://schemas.microsoft.com/office/drawing/2014/main" id="{5C03FAE4-34A4-4A76-B236-FD3422D761B1}"/>
                </a:ext>
              </a:extLst>
            </xdr:cNvPr>
            <xdr:cNvGraphicFramePr/>
          </xdr:nvGraphicFramePr>
          <xdr:xfrm>
            <a:off x="0" y="0"/>
            <a:ext cx="0" cy="0"/>
          </xdr:xfrm>
          <a:graphic>
            <a:graphicData uri="http://schemas.microsoft.com/office/drawing/2010/slicer">
              <sle:slicer xmlns:sle="http://schemas.microsoft.com/office/drawing/2010/slicer" name="PaymentMode 1"/>
            </a:graphicData>
          </a:graphic>
        </xdr:graphicFrame>
      </mc:Choice>
      <mc:Fallback>
        <xdr:sp macro="" textlink="">
          <xdr:nvSpPr>
            <xdr:cNvPr id="0" name=""/>
            <xdr:cNvSpPr>
              <a:spLocks noTextEdit="1"/>
            </xdr:cNvSpPr>
          </xdr:nvSpPr>
          <xdr:spPr>
            <a:xfrm>
              <a:off x="7493921" y="1127447"/>
              <a:ext cx="2328405" cy="26861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tendra Kumar sah" refreshedDate="46170.592515393517" createdVersion="8" refreshedVersion="8" minRefreshableVersion="3" recordCount="19" xr:uid="{2C423369-3FCC-4328-89DB-678D91172588}">
  <cacheSource type="worksheet">
    <worksheetSource ref="A1:M20" sheet="Pivot_Reports"/>
  </cacheSource>
  <cacheFields count="13">
    <cacheField name="OrderID" numFmtId="0">
      <sharedItems/>
    </cacheField>
    <cacheField name="Employee name" numFmtId="0">
      <sharedItems/>
    </cacheField>
    <cacheField name="Department" numFmtId="0">
      <sharedItems count="3">
        <s v="Electronics"/>
        <s v="Fashion"/>
        <s v="Grocery"/>
      </sharedItems>
    </cacheField>
    <cacheField name="City" numFmtId="0">
      <sharedItems count="4">
        <s v="Delhi"/>
        <s v="Mumbai"/>
        <s v="Pune"/>
        <s v="Bangalore"/>
      </sharedItems>
    </cacheField>
    <cacheField name="Product" numFmtId="0">
      <sharedItems/>
    </cacheField>
    <cacheField name="Category" numFmtId="0">
      <sharedItems/>
    </cacheField>
    <cacheField name="Quantity" numFmtId="0">
      <sharedItems containsSemiMixedTypes="0" containsString="0" containsNumber="1" containsInteger="1" minValue="1" maxValue="10"/>
    </cacheField>
    <cacheField name="Price" numFmtId="164">
      <sharedItems containsSemiMixedTypes="0" containsString="0" containsNumber="1" containsInteger="1" minValue="399" maxValue="55000"/>
    </cacheField>
    <cacheField name="OrderDate" numFmtId="14">
      <sharedItems containsSemiMixedTypes="0" containsNonDate="0" containsDate="1" containsString="0" minDate="2026-01-12T00:00:00" maxDate="2026-02-19T00:00:00"/>
    </cacheField>
    <cacheField name="PaymentMode" numFmtId="0">
      <sharedItems count="3">
        <s v="UPI"/>
        <s v="Cash"/>
        <s v="Card"/>
      </sharedItems>
    </cacheField>
    <cacheField name="Rating" numFmtId="0">
      <sharedItems containsSemiMixedTypes="0" containsString="0" containsNumber="1" containsInteger="1" minValue="2" maxValue="5"/>
    </cacheField>
    <cacheField name="ManagerCode" numFmtId="0">
      <sharedItems/>
    </cacheField>
    <cacheField name="Total_sales" numFmtId="164">
      <sharedItems containsSemiMixedTypes="0" containsString="0" containsNumber="1" containsInteger="1" minValue="2394" maxValue="110000"/>
    </cacheField>
  </cacheFields>
  <extLst>
    <ext xmlns:x14="http://schemas.microsoft.com/office/spreadsheetml/2009/9/main" uri="{725AE2AE-9491-48be-B2B4-4EB974FC3084}">
      <x14:pivotCacheDefinition pivotCacheId="12726102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s v="OD101"/>
    <s v="Rahul Sharma"/>
    <x v="0"/>
    <x v="0"/>
    <s v="Laptop"/>
    <s v="Electronics"/>
    <n v="2"/>
    <n v="55000"/>
    <d v="2026-01-12T00:00:00"/>
    <x v="0"/>
    <n v="5"/>
    <s v="M101"/>
    <n v="110000"/>
  </r>
  <r>
    <s v="OD102"/>
    <s v="Priya Mehta"/>
    <x v="1"/>
    <x v="1"/>
    <s v="Tshirt"/>
    <s v="Fashion"/>
    <n v="5"/>
    <n v="799"/>
    <d v="2026-01-15T00:00:00"/>
    <x v="1"/>
    <n v="4"/>
    <s v="M102"/>
    <n v="3995"/>
  </r>
  <r>
    <s v="OD103"/>
    <s v="Amit Verma"/>
    <x v="2"/>
    <x v="0"/>
    <s v="Rice Bag"/>
    <s v="Grocery"/>
    <n v="3"/>
    <n v="1200"/>
    <d v="2026-01-18T00:00:00"/>
    <x v="2"/>
    <n v="3"/>
    <s v="M103"/>
    <n v="3600"/>
  </r>
  <r>
    <s v="OD104"/>
    <s v="Neha Kapoor"/>
    <x v="0"/>
    <x v="2"/>
    <s v="Mouse"/>
    <s v="Electronics"/>
    <n v="10"/>
    <n v="599"/>
    <d v="2026-01-20T00:00:00"/>
    <x v="0"/>
    <n v="5"/>
    <s v="M101"/>
    <n v="5990"/>
  </r>
  <r>
    <s v="OD105"/>
    <s v="Rohit Singh"/>
    <x v="1"/>
    <x v="0"/>
    <s v="Jeans"/>
    <s v="Fashion"/>
    <n v="4"/>
    <n v="1899"/>
    <d v="2026-01-22T00:00:00"/>
    <x v="1"/>
    <n v="2"/>
    <s v="M102"/>
    <n v="7596"/>
  </r>
  <r>
    <s v="OD106"/>
    <s v="Karan Malhotra"/>
    <x v="2"/>
    <x v="1"/>
    <s v="Sugar"/>
    <s v="Grocery"/>
    <n v="6"/>
    <n v="450"/>
    <d v="2026-01-25T00:00:00"/>
    <x v="2"/>
    <n v="4"/>
    <s v="M103"/>
    <n v="2700"/>
  </r>
  <r>
    <s v="OD107"/>
    <s v="Pooja Arora"/>
    <x v="0"/>
    <x v="3"/>
    <s v="Keyboard"/>
    <s v="Electronics"/>
    <n v="7"/>
    <n v="999"/>
    <d v="2026-01-27T00:00:00"/>
    <x v="0"/>
    <n v="5"/>
    <s v="M101"/>
    <n v="6993"/>
  </r>
  <r>
    <s v="OD108"/>
    <s v="Anjali Gupta"/>
    <x v="1"/>
    <x v="0"/>
    <s v="Shoes"/>
    <s v="Fashion"/>
    <n v="2"/>
    <n v="2499"/>
    <d v="2026-01-28T00:00:00"/>
    <x v="2"/>
    <n v="4"/>
    <s v="M102"/>
    <n v="4998"/>
  </r>
  <r>
    <s v="OD109"/>
    <s v="Vikas Kumar"/>
    <x v="2"/>
    <x v="2"/>
    <s v="Wheat"/>
    <s v="Grocery"/>
    <n v="8"/>
    <n v="950"/>
    <d v="2026-01-30T00:00:00"/>
    <x v="1"/>
    <n v="3"/>
    <s v="M103"/>
    <n v="7600"/>
  </r>
  <r>
    <s v="OD110"/>
    <s v="Riya Sharma"/>
    <x v="0"/>
    <x v="0"/>
    <s v="Monitor"/>
    <s v="Electronics"/>
    <n v="1"/>
    <n v="12500"/>
    <d v="2026-02-01T00:00:00"/>
    <x v="0"/>
    <n v="5"/>
    <s v="M101"/>
    <n v="12500"/>
  </r>
  <r>
    <s v="OD112"/>
    <s v="Simran Kaur"/>
    <x v="1"/>
    <x v="1"/>
    <s v="Jacket"/>
    <s v="Fashion"/>
    <n v="3"/>
    <n v="3499"/>
    <d v="2026-02-04T00:00:00"/>
    <x v="2"/>
    <n v="4"/>
    <s v="M102"/>
    <n v="10497"/>
  </r>
  <r>
    <s v="OD113"/>
    <s v="Arjun Patel"/>
    <x v="2"/>
    <x v="3"/>
    <s v="Oil"/>
    <s v="Grocery"/>
    <n v="5"/>
    <n v="1800"/>
    <d v="2026-02-06T00:00:00"/>
    <x v="1"/>
    <n v="5"/>
    <s v="M103"/>
    <n v="9000"/>
  </r>
  <r>
    <s v="OD114"/>
    <s v="Meena Joshi"/>
    <x v="0"/>
    <x v="2"/>
    <s v="Tablet"/>
    <s v="Electronics"/>
    <n v="2"/>
    <n v="22000"/>
    <d v="2026-02-07T00:00:00"/>
    <x v="0"/>
    <n v="3"/>
    <s v="M101"/>
    <n v="44000"/>
  </r>
  <r>
    <s v="OD115"/>
    <s v="Sachin Yadav"/>
    <x v="1"/>
    <x v="0"/>
    <s v="Cap"/>
    <s v="Fashion"/>
    <n v="6"/>
    <n v="399"/>
    <d v="2026-02-09T00:00:00"/>
    <x v="2"/>
    <n v="4"/>
    <s v="M102"/>
    <n v="2394"/>
  </r>
  <r>
    <s v="OD116"/>
    <s v="Kajal Singh"/>
    <x v="2"/>
    <x v="1"/>
    <s v="Pulses"/>
    <s v="Grocery"/>
    <n v="4"/>
    <n v="1450"/>
    <d v="2026-02-11T00:00:00"/>
    <x v="1"/>
    <n v="5"/>
    <s v="M103"/>
    <n v="5800"/>
  </r>
  <r>
    <s v="OD117"/>
    <s v="Deepak Kumar"/>
    <x v="0"/>
    <x v="3"/>
    <s v="Speaker"/>
    <s v="Electronics"/>
    <n v="3"/>
    <n v="4999"/>
    <d v="2026-02-13T00:00:00"/>
    <x v="0"/>
    <n v="2"/>
    <s v="M101"/>
    <n v="14997"/>
  </r>
  <r>
    <s v="OD118"/>
    <s v="Priya Mehta"/>
    <x v="1"/>
    <x v="0"/>
    <s v="Tshirt"/>
    <s v="Fashion"/>
    <n v="8"/>
    <n v="799"/>
    <d v="2026-02-15T00:00:00"/>
    <x v="2"/>
    <n v="5"/>
    <s v="M102"/>
    <n v="6392"/>
  </r>
  <r>
    <s v="OD119"/>
    <s v="Nitin Arora"/>
    <x v="2"/>
    <x v="2"/>
    <s v="Flour"/>
    <s v="Grocery"/>
    <n v="7"/>
    <n v="850"/>
    <d v="2026-02-16T00:00:00"/>
    <x v="1"/>
    <n v="4"/>
    <s v="M103"/>
    <n v="5950"/>
  </r>
  <r>
    <s v="OD120"/>
    <s v="Ritika Jain"/>
    <x v="0"/>
    <x v="0"/>
    <s v="Camera"/>
    <s v="Electronics"/>
    <n v="1"/>
    <n v="45000"/>
    <d v="2026-02-18T00:00:00"/>
    <x v="0"/>
    <n v="5"/>
    <s v="M101"/>
    <n v="4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7EA561-C317-45C1-8712-31F867773EC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Department">
  <location ref="B26:C30" firstHeaderRow="1" firstDataRow="1" firstDataCol="1"/>
  <pivotFields count="13">
    <pivotField showAll="0"/>
    <pivotField showAll="0"/>
    <pivotField axis="axisRow" showAll="0">
      <items count="4">
        <item x="0"/>
        <item x="1"/>
        <item x="2"/>
        <item t="default"/>
      </items>
    </pivotField>
    <pivotField showAll="0">
      <items count="5">
        <item x="3"/>
        <item x="0"/>
        <item x="1"/>
        <item x="2"/>
        <item t="default"/>
      </items>
    </pivotField>
    <pivotField showAll="0"/>
    <pivotField showAll="0"/>
    <pivotField showAll="0"/>
    <pivotField numFmtId="164" showAll="0"/>
    <pivotField numFmtId="14" showAll="0"/>
    <pivotField showAll="0">
      <items count="4">
        <item x="2"/>
        <item x="1"/>
        <item x="0"/>
        <item t="default"/>
      </items>
    </pivotField>
    <pivotField showAll="0"/>
    <pivotField showAll="0"/>
    <pivotField dataField="1" numFmtId="164" showAll="0"/>
  </pivotFields>
  <rowFields count="1">
    <field x="2"/>
  </rowFields>
  <rowItems count="4">
    <i>
      <x/>
    </i>
    <i>
      <x v="1"/>
    </i>
    <i>
      <x v="2"/>
    </i>
    <i t="grand">
      <x/>
    </i>
  </rowItems>
  <colItems count="1">
    <i/>
  </colItems>
  <dataFields count="1">
    <dataField name="Sum of Total_sales" fld="12" baseField="0" baseItem="0" numFmtId="164"/>
  </dataFields>
  <chartFormats count="4">
    <chartFormat chart="30" format="15" series="1">
      <pivotArea type="data" outline="0" fieldPosition="0">
        <references count="1">
          <reference field="4294967294" count="1" selected="0">
            <x v="0"/>
          </reference>
        </references>
      </pivotArea>
    </chartFormat>
    <chartFormat chart="30" format="16">
      <pivotArea type="data" outline="0" fieldPosition="0">
        <references count="2">
          <reference field="4294967294" count="1" selected="0">
            <x v="0"/>
          </reference>
          <reference field="2" count="1" selected="0">
            <x v="0"/>
          </reference>
        </references>
      </pivotArea>
    </chartFormat>
    <chartFormat chart="30" format="17">
      <pivotArea type="data" outline="0" fieldPosition="0">
        <references count="2">
          <reference field="4294967294" count="1" selected="0">
            <x v="0"/>
          </reference>
          <reference field="2" count="1" selected="0">
            <x v="2"/>
          </reference>
        </references>
      </pivotArea>
    </chartFormat>
    <chartFormat chart="30" format="1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15D0A4-BEA1-4B70-9E36-9FD5AED6135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PaymentMode">
  <location ref="K26:L30" firstHeaderRow="1" firstDataRow="1" firstDataCol="1"/>
  <pivotFields count="13">
    <pivotField showAll="0"/>
    <pivotField showAll="0"/>
    <pivotField showAll="0"/>
    <pivotField showAll="0">
      <items count="5">
        <item x="3"/>
        <item x="0"/>
        <item x="1"/>
        <item x="2"/>
        <item t="default"/>
      </items>
    </pivotField>
    <pivotField showAll="0"/>
    <pivotField showAll="0"/>
    <pivotField showAll="0"/>
    <pivotField numFmtId="164" showAll="0"/>
    <pivotField numFmtId="14" showAll="0"/>
    <pivotField axis="axisRow" showAll="0">
      <items count="4">
        <item x="2"/>
        <item x="1"/>
        <item x="0"/>
        <item t="default"/>
      </items>
    </pivotField>
    <pivotField showAll="0"/>
    <pivotField showAll="0"/>
    <pivotField dataField="1" numFmtId="164" showAll="0"/>
  </pivotFields>
  <rowFields count="1">
    <field x="9"/>
  </rowFields>
  <rowItems count="4">
    <i>
      <x/>
    </i>
    <i>
      <x v="1"/>
    </i>
    <i>
      <x v="2"/>
    </i>
    <i t="grand">
      <x/>
    </i>
  </rowItems>
  <colItems count="1">
    <i/>
  </colItems>
  <dataFields count="1">
    <dataField name="Sum of Total_sales" fld="12" baseField="0" baseItem="0" numFmtId="164"/>
  </dataFields>
  <chartFormats count="3">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9" count="1" selected="0">
            <x v="1"/>
          </reference>
        </references>
      </pivotArea>
    </chartFormat>
    <chartFormat chart="17" format="10">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AB2A9B-EA7D-407F-AB69-20FF3D355E96}"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1" rowHeaderCaption="Department">
  <location ref="H26:I30" firstHeaderRow="1" firstDataRow="1" firstDataCol="1"/>
  <pivotFields count="13">
    <pivotField showAll="0"/>
    <pivotField showAll="0"/>
    <pivotField axis="axisRow" showAll="0">
      <items count="4">
        <item x="0"/>
        <item x="1"/>
        <item x="2"/>
        <item t="default"/>
      </items>
    </pivotField>
    <pivotField showAll="0">
      <items count="5">
        <item x="3"/>
        <item x="0"/>
        <item x="1"/>
        <item x="2"/>
        <item t="default"/>
      </items>
    </pivotField>
    <pivotField showAll="0"/>
    <pivotField showAll="0"/>
    <pivotField showAll="0"/>
    <pivotField numFmtId="164" showAll="0"/>
    <pivotField numFmtId="14" showAll="0"/>
    <pivotField showAll="0"/>
    <pivotField dataField="1" showAll="0"/>
    <pivotField showAll="0"/>
    <pivotField numFmtId="164" showAll="0"/>
  </pivotFields>
  <rowFields count="1">
    <field x="2"/>
  </rowFields>
  <rowItems count="4">
    <i>
      <x/>
    </i>
    <i>
      <x v="1"/>
    </i>
    <i>
      <x v="2"/>
    </i>
    <i t="grand">
      <x/>
    </i>
  </rowItems>
  <colItems count="1">
    <i/>
  </colItems>
  <dataFields count="1">
    <dataField name="Sum of Rating" fld="10" baseField="0" baseItem="0"/>
  </dataFields>
  <chartFormats count="3">
    <chartFormat chart="26" format="17" series="1">
      <pivotArea type="data" outline="0" fieldPosition="0">
        <references count="1">
          <reference field="4294967294" count="1" selected="0">
            <x v="0"/>
          </reference>
        </references>
      </pivotArea>
    </chartFormat>
    <chartFormat chart="26" format="18">
      <pivotArea type="data" outline="0" fieldPosition="0">
        <references count="2">
          <reference field="4294967294" count="1" selected="0">
            <x v="0"/>
          </reference>
          <reference field="2" count="1" selected="0">
            <x v="0"/>
          </reference>
        </references>
      </pivotArea>
    </chartFormat>
    <chartFormat chart="26" format="19">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A4A1FE-47A8-4381-A87C-33250BD7758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ity">
  <location ref="E26:F31" firstHeaderRow="1" firstDataRow="1" firstDataCol="1"/>
  <pivotFields count="13">
    <pivotField showAll="0"/>
    <pivotField showAll="0"/>
    <pivotField showAll="0"/>
    <pivotField axis="axisRow" showAll="0">
      <items count="5">
        <item x="3"/>
        <item x="0"/>
        <item x="1"/>
        <item x="2"/>
        <item t="default"/>
      </items>
    </pivotField>
    <pivotField showAll="0"/>
    <pivotField showAll="0"/>
    <pivotField showAll="0"/>
    <pivotField numFmtId="164" showAll="0"/>
    <pivotField numFmtId="14" showAll="0"/>
    <pivotField showAll="0"/>
    <pivotField showAll="0"/>
    <pivotField showAll="0"/>
    <pivotField dataField="1" numFmtId="164" showAll="0"/>
  </pivotFields>
  <rowFields count="1">
    <field x="3"/>
  </rowFields>
  <rowItems count="5">
    <i>
      <x/>
    </i>
    <i>
      <x v="1"/>
    </i>
    <i>
      <x v="2"/>
    </i>
    <i>
      <x v="3"/>
    </i>
    <i t="grand">
      <x/>
    </i>
  </rowItems>
  <colItems count="1">
    <i/>
  </colItems>
  <dataFields count="1">
    <dataField name="Sum of Total_sales" fld="12" baseField="0" baseItem="0" numFmtId="164"/>
  </dataFields>
  <chartFormats count="2">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C98FED1-1DD3-4C51-AE44-3C5C467CC901}" sourceName="Department">
  <pivotTables>
    <pivotTable tabId="7" name="PivotTable5"/>
  </pivotTables>
  <data>
    <tabular pivotCacheId="127261024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A4AC34E-F766-48D1-9828-D4032E873E34}" sourceName="City">
  <pivotTables>
    <pivotTable tabId="7" name="PivotTable5"/>
    <pivotTable tabId="7" name="PivotTable6"/>
    <pivotTable tabId="7" name="PivotTable7"/>
    <pivotTable tabId="7" name="PivotTable8"/>
  </pivotTables>
  <data>
    <tabular pivotCacheId="1272610248">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AC2508D0-21A1-4877-9EEE-DF6D3CA66B9F}" sourceName="PaymentMode">
  <pivotTables>
    <pivotTable tabId="7" name="PivotTable5"/>
  </pivotTables>
  <data>
    <tabular pivotCacheId="127261024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5C2E4A0D-E961-45C9-8EBD-4CA2C0390C62}" cache="Slicer_Department" caption="Department" rowHeight="247650"/>
  <slicer name="City 2" xr10:uid="{4791E24C-2FC0-4E7D-B3A7-BBAA64467248}" cache="Slicer_City" caption="City" rowHeight="247650"/>
  <slicer name="PaymentMode 1" xr10:uid="{1E4A7D5A-70A8-4EC5-B816-EDE95608D5C2}" cache="Slicer_PaymentMode" caption="PaymentMod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43D231-A647-4C2B-89ED-34A67F67039C}" name="Table6" displayName="Table6" ref="A1:L20" totalsRowShown="0" headerRowDxfId="6" tableBorderDxfId="5">
  <autoFilter ref="A1:L20" xr:uid="{8D43D231-A647-4C2B-89ED-34A67F67039C}"/>
  <tableColumns count="12">
    <tableColumn id="1" xr3:uid="{97A6DCEC-0BA8-4932-BE46-08B2AF69100D}" name="OrderID"/>
    <tableColumn id="2" xr3:uid="{0EF53D84-A584-4CA1-8470-9FA0B9BE5A42}" name="Employee name"/>
    <tableColumn id="3" xr3:uid="{5977DDDD-E1B8-44B9-8A1B-2ADC5CF49C2B}" name="Department"/>
    <tableColumn id="4" xr3:uid="{BDDEB47A-98CD-4B3F-835E-67A9750062EE}" name="City"/>
    <tableColumn id="5" xr3:uid="{853DEB66-AD9C-42E5-A88F-D70CA817E4D8}" name="Product"/>
    <tableColumn id="6" xr3:uid="{55FCA410-85E5-4678-ABCB-0908CD8990D2}" name="Category"/>
    <tableColumn id="7" xr3:uid="{D992462E-B9D9-4A7F-8C0A-E5706840CBF6}" name="Quantity"/>
    <tableColumn id="8" xr3:uid="{65D894A2-5E52-4350-A70C-CB49E973F2A9}" name="Price" dataDxfId="4"/>
    <tableColumn id="9" xr3:uid="{AF237FE1-F1A0-42C2-A28E-7BF9D4F36A5A}" name="OrderDate" dataDxfId="3"/>
    <tableColumn id="10" xr3:uid="{997956D0-3355-4305-9C13-D11F247C22BA}" name="PaymentMode"/>
    <tableColumn id="11" xr3:uid="{C1EACAAA-ED51-4067-B2AE-D08116463D83}" name="Rating"/>
    <tableColumn id="12" xr3:uid="{B1C7212E-DB46-4CF8-813C-DA3CF2B9D612}" name="ManagerCo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39E542-3E71-4CED-B2F9-B6066ED0DCB3}" name="Table1" displayName="Table1" ref="A1:N20" totalsRowShown="0" tableBorderDxfId="2">
  <autoFilter ref="A1:N20" xr:uid="{BB39E542-3E71-4CED-B2F9-B6066ED0DCB3}"/>
  <tableColumns count="14">
    <tableColumn id="1" xr3:uid="{4A93B58C-855F-4B8F-97B4-94D757395E19}" name="OrderID"/>
    <tableColumn id="2" xr3:uid="{497328AA-6A6D-427D-B721-3597A872F92B}" name="order"/>
    <tableColumn id="3" xr3:uid="{A1B303EA-8B60-444D-A6AB-1B95534BE351}" name="id"/>
    <tableColumn id="4" xr3:uid="{5038C066-1D22-4BE5-9BED-7E340FF8F3DD}" name="Employee name"/>
    <tableColumn id="5" xr3:uid="{3355C77D-B841-4C3A-89CD-DE830D4F5FAA}" name="Department"/>
    <tableColumn id="6" xr3:uid="{99647FB6-F44C-4621-AB89-E5B8E3BC4217}" name="City"/>
    <tableColumn id="7" xr3:uid="{12C4D87A-48BF-4C5E-882A-36AEC150F918}" name="Product"/>
    <tableColumn id="8" xr3:uid="{8D2FA738-7041-4C41-8876-50FB8010F9AC}" name="Category"/>
    <tableColumn id="9" xr3:uid="{C2E85308-DD39-4F21-AE6E-68C177C6C608}" name="Quantity"/>
    <tableColumn id="10" xr3:uid="{1D1793F8-B3F8-4F3B-95CA-7BDD85FE4B59}" name="Price" dataDxfId="1"/>
    <tableColumn id="11" xr3:uid="{D2FEDA24-6151-41EA-A0CF-90E3F1455224}" name="OrderDate" dataDxfId="0"/>
    <tableColumn id="12" xr3:uid="{1EEE54A2-AD9B-4223-97B1-19071FF9CABC}" name="PaymentMode"/>
    <tableColumn id="13" xr3:uid="{B9F72B52-4630-4893-A0C8-D61BA2596982}" name="Rating"/>
    <tableColumn id="14" xr3:uid="{77D6F0A0-3DC1-460E-A2EA-B16A7B4EB0F8}" name="ManagerC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2F994-BD51-47E5-A6FB-672A654A566F}">
  <dimension ref="A1:AD26"/>
  <sheetViews>
    <sheetView zoomScale="67" zoomScaleNormal="70" workbookViewId="0">
      <selection activeCell="S3" sqref="S3"/>
    </sheetView>
  </sheetViews>
  <sheetFormatPr defaultRowHeight="14.4" x14ac:dyDescent="0.3"/>
  <cols>
    <col min="3" max="4" width="13.33203125" bestFit="1" customWidth="1"/>
    <col min="6" max="6" width="14.44140625" customWidth="1"/>
    <col min="9" max="9" width="14.33203125" bestFit="1" customWidth="1"/>
    <col min="12" max="12" width="7.6640625" bestFit="1" customWidth="1"/>
    <col min="17" max="17" width="16" customWidth="1"/>
    <col min="21" max="21" width="12.6640625" customWidth="1"/>
  </cols>
  <sheetData>
    <row r="1" spans="1:30" ht="14.4" customHeight="1" x14ac:dyDescent="0.3">
      <c r="A1" s="19" t="s">
        <v>123</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row>
    <row r="2" spans="1:30" ht="14.4" customHeight="1" x14ac:dyDescent="0.3">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row>
    <row r="3" spans="1:30" x14ac:dyDescent="0.3">
      <c r="B3" s="20" t="s">
        <v>124</v>
      </c>
      <c r="C3" s="20"/>
      <c r="D3" s="20"/>
      <c r="T3" s="20" t="s">
        <v>125</v>
      </c>
      <c r="U3" s="20"/>
      <c r="V3" s="20"/>
    </row>
    <row r="4" spans="1:30" x14ac:dyDescent="0.3">
      <c r="C4" s="25" t="s">
        <v>108</v>
      </c>
      <c r="U4" s="16" t="s">
        <v>128</v>
      </c>
    </row>
    <row r="5" spans="1:30" x14ac:dyDescent="0.3">
      <c r="C5" s="17">
        <f>SUM(Formula_Analysis!M:M)</f>
        <v>310002</v>
      </c>
      <c r="U5">
        <f>COUNTA(Cleaned_Data!A:A)-1</f>
        <v>19</v>
      </c>
    </row>
    <row r="23" spans="3:18" x14ac:dyDescent="0.3">
      <c r="C23" s="20" t="s">
        <v>126</v>
      </c>
      <c r="D23" s="20"/>
      <c r="E23" s="20"/>
    </row>
    <row r="24" spans="3:18" x14ac:dyDescent="0.3">
      <c r="D24" s="16" t="s">
        <v>127</v>
      </c>
    </row>
    <row r="25" spans="3:18" x14ac:dyDescent="0.3">
      <c r="D25" s="17" t="s">
        <v>13</v>
      </c>
    </row>
    <row r="26" spans="3:18" x14ac:dyDescent="0.3">
      <c r="P26" s="20"/>
      <c r="Q26" s="20"/>
      <c r="R26" s="20"/>
    </row>
  </sheetData>
  <mergeCells count="5">
    <mergeCell ref="B3:D3"/>
    <mergeCell ref="P26:R26"/>
    <mergeCell ref="C23:E23"/>
    <mergeCell ref="T3:V3"/>
    <mergeCell ref="A1:AD2"/>
  </mergeCells>
  <phoneticPr fontId="8"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F51F9-F241-4886-8482-25052EF649B7}">
  <dimension ref="A1:M31"/>
  <sheetViews>
    <sheetView zoomScale="78" workbookViewId="0">
      <selection activeCell="K33" sqref="K33"/>
    </sheetView>
  </sheetViews>
  <sheetFormatPr defaultRowHeight="14.4" x14ac:dyDescent="0.3"/>
  <cols>
    <col min="2" max="2" width="18.44140625" bestFit="1" customWidth="1"/>
    <col min="3" max="3" width="16.33203125" bestFit="1" customWidth="1"/>
    <col min="5" max="5" width="10.5546875" bestFit="1" customWidth="1"/>
    <col min="6" max="6" width="16.33203125" bestFit="1" customWidth="1"/>
    <col min="7" max="7" width="9.88671875" bestFit="1" customWidth="1"/>
    <col min="8" max="9" width="13.5546875" customWidth="1"/>
    <col min="11" max="11" width="15.33203125" bestFit="1" customWidth="1"/>
    <col min="12" max="12" width="16.33203125" bestFit="1" customWidth="1"/>
    <col min="13" max="13" width="13" customWidth="1"/>
  </cols>
  <sheetData>
    <row r="1" spans="1:13" ht="18" x14ac:dyDescent="0.35">
      <c r="A1" s="7" t="s">
        <v>0</v>
      </c>
      <c r="B1" s="7" t="s">
        <v>79</v>
      </c>
      <c r="C1" s="7" t="s">
        <v>1</v>
      </c>
      <c r="D1" s="7" t="s">
        <v>2</v>
      </c>
      <c r="E1" s="7" t="s">
        <v>3</v>
      </c>
      <c r="F1" s="7" t="s">
        <v>4</v>
      </c>
      <c r="G1" s="7" t="s">
        <v>5</v>
      </c>
      <c r="H1" s="8" t="s">
        <v>6</v>
      </c>
      <c r="I1" s="9" t="s">
        <v>7</v>
      </c>
      <c r="J1" s="7" t="s">
        <v>8</v>
      </c>
      <c r="K1" s="7" t="s">
        <v>9</v>
      </c>
      <c r="L1" s="7" t="s">
        <v>10</v>
      </c>
      <c r="M1" s="7" t="s">
        <v>81</v>
      </c>
    </row>
    <row r="2" spans="1:13" x14ac:dyDescent="0.3">
      <c r="A2" t="s">
        <v>11</v>
      </c>
      <c r="B2" t="s">
        <v>74</v>
      </c>
      <c r="C2" t="s">
        <v>12</v>
      </c>
      <c r="D2" t="s">
        <v>13</v>
      </c>
      <c r="E2" t="s">
        <v>14</v>
      </c>
      <c r="F2" t="s">
        <v>12</v>
      </c>
      <c r="G2">
        <v>2</v>
      </c>
      <c r="H2" s="2">
        <v>55000</v>
      </c>
      <c r="I2" s="1">
        <v>46034</v>
      </c>
      <c r="J2" t="s">
        <v>15</v>
      </c>
      <c r="K2">
        <v>5</v>
      </c>
      <c r="L2" t="s">
        <v>16</v>
      </c>
      <c r="M2" s="2">
        <f t="shared" ref="M2:M20" si="0">G2*H2</f>
        <v>110000</v>
      </c>
    </row>
    <row r="3" spans="1:13" x14ac:dyDescent="0.3">
      <c r="A3" t="s">
        <v>17</v>
      </c>
      <c r="B3" t="s">
        <v>75</v>
      </c>
      <c r="C3" t="s">
        <v>18</v>
      </c>
      <c r="D3" t="s">
        <v>19</v>
      </c>
      <c r="E3" t="s">
        <v>20</v>
      </c>
      <c r="F3" t="s">
        <v>18</v>
      </c>
      <c r="G3">
        <v>5</v>
      </c>
      <c r="H3" s="2">
        <v>799</v>
      </c>
      <c r="I3" s="1">
        <v>46037</v>
      </c>
      <c r="J3" t="s">
        <v>21</v>
      </c>
      <c r="K3">
        <v>4</v>
      </c>
      <c r="L3" t="s">
        <v>22</v>
      </c>
      <c r="M3" s="2">
        <f t="shared" si="0"/>
        <v>3995</v>
      </c>
    </row>
    <row r="4" spans="1:13" x14ac:dyDescent="0.3">
      <c r="A4" t="s">
        <v>23</v>
      </c>
      <c r="B4" t="s">
        <v>76</v>
      </c>
      <c r="C4" t="s">
        <v>24</v>
      </c>
      <c r="D4" t="s">
        <v>13</v>
      </c>
      <c r="E4" t="s">
        <v>25</v>
      </c>
      <c r="F4" t="s">
        <v>24</v>
      </c>
      <c r="G4">
        <v>3</v>
      </c>
      <c r="H4" s="2">
        <v>1200</v>
      </c>
      <c r="I4" s="1">
        <v>46040</v>
      </c>
      <c r="J4" t="s">
        <v>26</v>
      </c>
      <c r="K4">
        <v>3</v>
      </c>
      <c r="L4" t="s">
        <v>27</v>
      </c>
      <c r="M4" s="2">
        <f t="shared" si="0"/>
        <v>3600</v>
      </c>
    </row>
    <row r="5" spans="1:13" x14ac:dyDescent="0.3">
      <c r="A5" t="s">
        <v>28</v>
      </c>
      <c r="B5" t="s">
        <v>29</v>
      </c>
      <c r="C5" t="s">
        <v>12</v>
      </c>
      <c r="D5" t="s">
        <v>30</v>
      </c>
      <c r="E5" t="s">
        <v>31</v>
      </c>
      <c r="F5" t="s">
        <v>12</v>
      </c>
      <c r="G5">
        <v>10</v>
      </c>
      <c r="H5" s="2">
        <v>599</v>
      </c>
      <c r="I5" s="1">
        <v>46042</v>
      </c>
      <c r="J5" t="s">
        <v>15</v>
      </c>
      <c r="K5">
        <v>5</v>
      </c>
      <c r="L5" t="s">
        <v>16</v>
      </c>
      <c r="M5" s="2">
        <f t="shared" si="0"/>
        <v>5990</v>
      </c>
    </row>
    <row r="6" spans="1:13" x14ac:dyDescent="0.3">
      <c r="A6" t="s">
        <v>32</v>
      </c>
      <c r="B6" t="s">
        <v>33</v>
      </c>
      <c r="C6" t="s">
        <v>18</v>
      </c>
      <c r="D6" t="s">
        <v>13</v>
      </c>
      <c r="E6" t="s">
        <v>34</v>
      </c>
      <c r="F6" t="s">
        <v>18</v>
      </c>
      <c r="G6">
        <v>4</v>
      </c>
      <c r="H6" s="2">
        <v>1899</v>
      </c>
      <c r="I6" s="1">
        <v>46044</v>
      </c>
      <c r="J6" t="s">
        <v>21</v>
      </c>
      <c r="K6">
        <v>2</v>
      </c>
      <c r="L6" t="s">
        <v>22</v>
      </c>
      <c r="M6" s="2">
        <f t="shared" si="0"/>
        <v>7596</v>
      </c>
    </row>
    <row r="7" spans="1:13" x14ac:dyDescent="0.3">
      <c r="A7" t="s">
        <v>35</v>
      </c>
      <c r="B7" t="s">
        <v>36</v>
      </c>
      <c r="C7" t="s">
        <v>24</v>
      </c>
      <c r="D7" t="s">
        <v>19</v>
      </c>
      <c r="E7" t="s">
        <v>37</v>
      </c>
      <c r="F7" t="s">
        <v>24</v>
      </c>
      <c r="G7">
        <v>6</v>
      </c>
      <c r="H7" s="2">
        <v>450</v>
      </c>
      <c r="I7" s="1">
        <v>46047</v>
      </c>
      <c r="J7" t="s">
        <v>26</v>
      </c>
      <c r="K7">
        <v>4</v>
      </c>
      <c r="L7" t="s">
        <v>27</v>
      </c>
      <c r="M7" s="2">
        <f t="shared" si="0"/>
        <v>2700</v>
      </c>
    </row>
    <row r="8" spans="1:13" x14ac:dyDescent="0.3">
      <c r="A8" t="s">
        <v>38</v>
      </c>
      <c r="B8" t="s">
        <v>39</v>
      </c>
      <c r="C8" t="s">
        <v>12</v>
      </c>
      <c r="D8" t="s">
        <v>40</v>
      </c>
      <c r="E8" t="s">
        <v>41</v>
      </c>
      <c r="F8" t="s">
        <v>12</v>
      </c>
      <c r="G8">
        <v>7</v>
      </c>
      <c r="H8" s="2">
        <v>999</v>
      </c>
      <c r="I8" s="1">
        <v>46049</v>
      </c>
      <c r="J8" t="s">
        <v>15</v>
      </c>
      <c r="K8">
        <v>5</v>
      </c>
      <c r="L8" t="s">
        <v>16</v>
      </c>
      <c r="M8" s="2">
        <f t="shared" si="0"/>
        <v>6993</v>
      </c>
    </row>
    <row r="9" spans="1:13" x14ac:dyDescent="0.3">
      <c r="A9" t="s">
        <v>42</v>
      </c>
      <c r="B9" t="s">
        <v>77</v>
      </c>
      <c r="C9" t="s">
        <v>18</v>
      </c>
      <c r="D9" t="s">
        <v>13</v>
      </c>
      <c r="E9" t="s">
        <v>43</v>
      </c>
      <c r="F9" t="s">
        <v>18</v>
      </c>
      <c r="G9">
        <v>2</v>
      </c>
      <c r="H9" s="2">
        <v>2499</v>
      </c>
      <c r="I9" s="1">
        <v>46050</v>
      </c>
      <c r="J9" t="s">
        <v>26</v>
      </c>
      <c r="K9">
        <v>4</v>
      </c>
      <c r="L9" t="s">
        <v>22</v>
      </c>
      <c r="M9" s="2">
        <f t="shared" si="0"/>
        <v>4998</v>
      </c>
    </row>
    <row r="10" spans="1:13" x14ac:dyDescent="0.3">
      <c r="A10" t="s">
        <v>44</v>
      </c>
      <c r="B10" t="s">
        <v>45</v>
      </c>
      <c r="C10" t="s">
        <v>24</v>
      </c>
      <c r="D10" t="s">
        <v>30</v>
      </c>
      <c r="E10" t="s">
        <v>46</v>
      </c>
      <c r="F10" t="s">
        <v>24</v>
      </c>
      <c r="G10">
        <v>8</v>
      </c>
      <c r="H10" s="2">
        <v>950</v>
      </c>
      <c r="I10" s="1">
        <v>46052</v>
      </c>
      <c r="J10" t="s">
        <v>21</v>
      </c>
      <c r="K10">
        <v>3</v>
      </c>
      <c r="L10" t="s">
        <v>27</v>
      </c>
      <c r="M10" s="2">
        <f t="shared" si="0"/>
        <v>7600</v>
      </c>
    </row>
    <row r="11" spans="1:13" x14ac:dyDescent="0.3">
      <c r="A11" t="s">
        <v>47</v>
      </c>
      <c r="B11" t="s">
        <v>48</v>
      </c>
      <c r="C11" t="s">
        <v>12</v>
      </c>
      <c r="D11" t="s">
        <v>13</v>
      </c>
      <c r="E11" t="s">
        <v>49</v>
      </c>
      <c r="F11" t="s">
        <v>12</v>
      </c>
      <c r="G11">
        <v>1</v>
      </c>
      <c r="H11" s="2">
        <v>12500</v>
      </c>
      <c r="I11" s="1">
        <v>46054</v>
      </c>
      <c r="J11" t="s">
        <v>15</v>
      </c>
      <c r="K11">
        <v>5</v>
      </c>
      <c r="L11" t="s">
        <v>16</v>
      </c>
      <c r="M11" s="2">
        <f t="shared" si="0"/>
        <v>12500</v>
      </c>
    </row>
    <row r="12" spans="1:13" x14ac:dyDescent="0.3">
      <c r="A12" t="s">
        <v>50</v>
      </c>
      <c r="B12" t="s">
        <v>51</v>
      </c>
      <c r="C12" t="s">
        <v>18</v>
      </c>
      <c r="D12" t="s">
        <v>19</v>
      </c>
      <c r="E12" t="s">
        <v>52</v>
      </c>
      <c r="F12" t="s">
        <v>18</v>
      </c>
      <c r="G12">
        <v>3</v>
      </c>
      <c r="H12" s="2">
        <v>3499</v>
      </c>
      <c r="I12" s="1">
        <v>46057</v>
      </c>
      <c r="J12" t="s">
        <v>26</v>
      </c>
      <c r="K12">
        <v>4</v>
      </c>
      <c r="L12" t="s">
        <v>22</v>
      </c>
      <c r="M12" s="2">
        <f t="shared" si="0"/>
        <v>10497</v>
      </c>
    </row>
    <row r="13" spans="1:13" x14ac:dyDescent="0.3">
      <c r="A13" t="s">
        <v>53</v>
      </c>
      <c r="B13" t="s">
        <v>54</v>
      </c>
      <c r="C13" t="s">
        <v>24</v>
      </c>
      <c r="D13" t="s">
        <v>40</v>
      </c>
      <c r="E13" t="s">
        <v>55</v>
      </c>
      <c r="F13" t="s">
        <v>24</v>
      </c>
      <c r="G13">
        <v>5</v>
      </c>
      <c r="H13" s="2">
        <v>1800</v>
      </c>
      <c r="I13" s="1">
        <v>46059</v>
      </c>
      <c r="J13" t="s">
        <v>21</v>
      </c>
      <c r="K13">
        <v>5</v>
      </c>
      <c r="L13" t="s">
        <v>27</v>
      </c>
      <c r="M13" s="2">
        <f t="shared" si="0"/>
        <v>9000</v>
      </c>
    </row>
    <row r="14" spans="1:13" x14ac:dyDescent="0.3">
      <c r="A14" t="s">
        <v>56</v>
      </c>
      <c r="B14" t="s">
        <v>78</v>
      </c>
      <c r="C14" t="s">
        <v>12</v>
      </c>
      <c r="D14" t="s">
        <v>30</v>
      </c>
      <c r="E14" t="s">
        <v>57</v>
      </c>
      <c r="F14" t="s">
        <v>12</v>
      </c>
      <c r="G14">
        <v>2</v>
      </c>
      <c r="H14" s="2">
        <v>22000</v>
      </c>
      <c r="I14" s="1">
        <v>46060</v>
      </c>
      <c r="J14" t="s">
        <v>15</v>
      </c>
      <c r="K14">
        <v>3</v>
      </c>
      <c r="L14" t="s">
        <v>16</v>
      </c>
      <c r="M14" s="2">
        <f t="shared" si="0"/>
        <v>44000</v>
      </c>
    </row>
    <row r="15" spans="1:13" x14ac:dyDescent="0.3">
      <c r="A15" t="s">
        <v>58</v>
      </c>
      <c r="B15" t="s">
        <v>59</v>
      </c>
      <c r="C15" t="s">
        <v>18</v>
      </c>
      <c r="D15" t="s">
        <v>13</v>
      </c>
      <c r="E15" t="s">
        <v>60</v>
      </c>
      <c r="F15" t="s">
        <v>18</v>
      </c>
      <c r="G15">
        <v>6</v>
      </c>
      <c r="H15" s="2">
        <v>399</v>
      </c>
      <c r="I15" s="1">
        <v>46062</v>
      </c>
      <c r="J15" t="s">
        <v>26</v>
      </c>
      <c r="K15">
        <v>4</v>
      </c>
      <c r="L15" t="s">
        <v>22</v>
      </c>
      <c r="M15" s="2">
        <f t="shared" si="0"/>
        <v>2394</v>
      </c>
    </row>
    <row r="16" spans="1:13" x14ac:dyDescent="0.3">
      <c r="A16" t="s">
        <v>61</v>
      </c>
      <c r="B16" t="s">
        <v>62</v>
      </c>
      <c r="C16" t="s">
        <v>24</v>
      </c>
      <c r="D16" t="s">
        <v>19</v>
      </c>
      <c r="E16" t="s">
        <v>63</v>
      </c>
      <c r="F16" t="s">
        <v>24</v>
      </c>
      <c r="G16">
        <v>4</v>
      </c>
      <c r="H16" s="2">
        <v>1450</v>
      </c>
      <c r="I16" s="1">
        <v>46064</v>
      </c>
      <c r="J16" t="s">
        <v>21</v>
      </c>
      <c r="K16">
        <v>5</v>
      </c>
      <c r="L16" t="s">
        <v>27</v>
      </c>
      <c r="M16" s="2">
        <f t="shared" si="0"/>
        <v>5800</v>
      </c>
    </row>
    <row r="17" spans="1:13" x14ac:dyDescent="0.3">
      <c r="A17" t="s">
        <v>64</v>
      </c>
      <c r="B17" t="s">
        <v>65</v>
      </c>
      <c r="C17" t="s">
        <v>12</v>
      </c>
      <c r="D17" t="s">
        <v>40</v>
      </c>
      <c r="E17" t="s">
        <v>66</v>
      </c>
      <c r="F17" t="s">
        <v>12</v>
      </c>
      <c r="G17">
        <v>3</v>
      </c>
      <c r="H17" s="2">
        <v>4999</v>
      </c>
      <c r="I17" s="1">
        <v>46066</v>
      </c>
      <c r="J17" t="s">
        <v>15</v>
      </c>
      <c r="K17">
        <v>2</v>
      </c>
      <c r="L17" t="s">
        <v>16</v>
      </c>
      <c r="M17" s="2">
        <f t="shared" si="0"/>
        <v>14997</v>
      </c>
    </row>
    <row r="18" spans="1:13" x14ac:dyDescent="0.3">
      <c r="A18" t="s">
        <v>67</v>
      </c>
      <c r="B18" t="s">
        <v>75</v>
      </c>
      <c r="C18" t="s">
        <v>18</v>
      </c>
      <c r="D18" t="s">
        <v>13</v>
      </c>
      <c r="E18" t="s">
        <v>20</v>
      </c>
      <c r="F18" t="s">
        <v>18</v>
      </c>
      <c r="G18">
        <v>8</v>
      </c>
      <c r="H18" s="2">
        <v>799</v>
      </c>
      <c r="I18" s="1">
        <v>46068</v>
      </c>
      <c r="J18" t="s">
        <v>26</v>
      </c>
      <c r="K18">
        <v>5</v>
      </c>
      <c r="L18" t="s">
        <v>22</v>
      </c>
      <c r="M18" s="2">
        <f t="shared" si="0"/>
        <v>6392</v>
      </c>
    </row>
    <row r="19" spans="1:13" x14ac:dyDescent="0.3">
      <c r="A19" t="s">
        <v>68</v>
      </c>
      <c r="B19" t="s">
        <v>69</v>
      </c>
      <c r="C19" t="s">
        <v>24</v>
      </c>
      <c r="D19" t="s">
        <v>30</v>
      </c>
      <c r="E19" t="s">
        <v>70</v>
      </c>
      <c r="F19" t="s">
        <v>24</v>
      </c>
      <c r="G19">
        <v>7</v>
      </c>
      <c r="H19" s="2">
        <v>850</v>
      </c>
      <c r="I19" s="1">
        <v>46069</v>
      </c>
      <c r="J19" t="s">
        <v>21</v>
      </c>
      <c r="K19">
        <v>4</v>
      </c>
      <c r="L19" t="s">
        <v>27</v>
      </c>
      <c r="M19" s="2">
        <f t="shared" si="0"/>
        <v>5950</v>
      </c>
    </row>
    <row r="20" spans="1:13" x14ac:dyDescent="0.3">
      <c r="A20" t="s">
        <v>71</v>
      </c>
      <c r="B20" t="s">
        <v>72</v>
      </c>
      <c r="C20" t="s">
        <v>12</v>
      </c>
      <c r="D20" t="s">
        <v>13</v>
      </c>
      <c r="E20" t="s">
        <v>73</v>
      </c>
      <c r="F20" t="s">
        <v>12</v>
      </c>
      <c r="G20">
        <v>1</v>
      </c>
      <c r="H20" s="2">
        <v>45000</v>
      </c>
      <c r="I20" s="1">
        <v>46071</v>
      </c>
      <c r="J20" t="s">
        <v>15</v>
      </c>
      <c r="K20">
        <v>5</v>
      </c>
      <c r="L20" t="s">
        <v>16</v>
      </c>
      <c r="M20" s="2">
        <f t="shared" si="0"/>
        <v>45000</v>
      </c>
    </row>
    <row r="25" spans="1:13" x14ac:dyDescent="0.3">
      <c r="B25" s="21" t="s">
        <v>121</v>
      </c>
      <c r="C25" s="21"/>
      <c r="E25" s="21" t="s">
        <v>116</v>
      </c>
      <c r="F25" s="21"/>
      <c r="H25" s="21" t="s">
        <v>118</v>
      </c>
      <c r="I25" s="21"/>
      <c r="K25" s="21" t="s">
        <v>119</v>
      </c>
      <c r="L25" s="21"/>
    </row>
    <row r="26" spans="1:13" x14ac:dyDescent="0.3">
      <c r="B26" s="14" t="s">
        <v>1</v>
      </c>
      <c r="C26" t="s">
        <v>120</v>
      </c>
      <c r="E26" s="14" t="s">
        <v>122</v>
      </c>
      <c r="F26" t="s">
        <v>120</v>
      </c>
      <c r="H26" s="14" t="s">
        <v>1</v>
      </c>
      <c r="I26" t="s">
        <v>117</v>
      </c>
      <c r="K26" s="14" t="s">
        <v>8</v>
      </c>
      <c r="L26" t="s">
        <v>120</v>
      </c>
    </row>
    <row r="27" spans="1:13" x14ac:dyDescent="0.3">
      <c r="B27" s="15" t="s">
        <v>12</v>
      </c>
      <c r="C27" s="2">
        <v>239480</v>
      </c>
      <c r="E27" s="15" t="s">
        <v>40</v>
      </c>
      <c r="F27" s="2">
        <v>30990</v>
      </c>
      <c r="H27" s="15" t="s">
        <v>12</v>
      </c>
      <c r="I27">
        <v>30</v>
      </c>
      <c r="K27" s="15" t="s">
        <v>26</v>
      </c>
      <c r="L27" s="2">
        <v>30581</v>
      </c>
    </row>
    <row r="28" spans="1:13" x14ac:dyDescent="0.3">
      <c r="B28" s="15" t="s">
        <v>18</v>
      </c>
      <c r="C28" s="2">
        <v>35872</v>
      </c>
      <c r="E28" s="15" t="s">
        <v>13</v>
      </c>
      <c r="F28" s="2">
        <v>192480</v>
      </c>
      <c r="H28" s="15" t="s">
        <v>18</v>
      </c>
      <c r="I28">
        <v>23</v>
      </c>
      <c r="K28" s="15" t="s">
        <v>21</v>
      </c>
      <c r="L28" s="2">
        <v>39941</v>
      </c>
    </row>
    <row r="29" spans="1:13" x14ac:dyDescent="0.3">
      <c r="B29" s="15" t="s">
        <v>24</v>
      </c>
      <c r="C29" s="2">
        <v>34650</v>
      </c>
      <c r="E29" s="15" t="s">
        <v>19</v>
      </c>
      <c r="F29" s="2">
        <v>22992</v>
      </c>
      <c r="H29" s="15" t="s">
        <v>24</v>
      </c>
      <c r="I29">
        <v>24</v>
      </c>
      <c r="K29" s="15" t="s">
        <v>15</v>
      </c>
      <c r="L29" s="2">
        <v>239480</v>
      </c>
    </row>
    <row r="30" spans="1:13" x14ac:dyDescent="0.3">
      <c r="B30" s="15" t="s">
        <v>115</v>
      </c>
      <c r="C30" s="2">
        <v>310002</v>
      </c>
      <c r="E30" s="15" t="s">
        <v>30</v>
      </c>
      <c r="F30" s="2">
        <v>63540</v>
      </c>
      <c r="H30" s="15" t="s">
        <v>115</v>
      </c>
      <c r="I30">
        <v>77</v>
      </c>
      <c r="K30" s="15" t="s">
        <v>115</v>
      </c>
      <c r="L30" s="2">
        <v>310002</v>
      </c>
    </row>
    <row r="31" spans="1:13" x14ac:dyDescent="0.3">
      <c r="E31" s="15" t="s">
        <v>115</v>
      </c>
      <c r="F31" s="2">
        <v>310002</v>
      </c>
    </row>
  </sheetData>
  <mergeCells count="4">
    <mergeCell ref="K25:L25"/>
    <mergeCell ref="B25:C25"/>
    <mergeCell ref="E25:F25"/>
    <mergeCell ref="H25:I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96AE4-F82E-4F30-8237-66678019E45B}">
  <dimension ref="A1:T41"/>
  <sheetViews>
    <sheetView zoomScale="55" zoomScaleNormal="55" workbookViewId="0">
      <selection activeCell="Q11" sqref="Q11"/>
    </sheetView>
  </sheetViews>
  <sheetFormatPr defaultRowHeight="14.4" x14ac:dyDescent="0.3"/>
  <cols>
    <col min="1" max="1" width="41.5546875" customWidth="1"/>
    <col min="2" max="2" width="23.21875" customWidth="1"/>
    <col min="3" max="3" width="15.44140625" customWidth="1"/>
    <col min="4" max="4" width="9.109375" bestFit="1" customWidth="1"/>
    <col min="5" max="5" width="11.109375" customWidth="1"/>
    <col min="6" max="6" width="12.21875" customWidth="1"/>
    <col min="7" max="7" width="11.88671875" customWidth="1"/>
    <col min="8" max="8" width="11.44140625" style="2" bestFit="1" customWidth="1"/>
    <col min="9" max="9" width="15.88671875" style="1" customWidth="1"/>
    <col min="10" max="10" width="17.88671875" customWidth="1"/>
    <col min="11" max="11" width="9.5546875" customWidth="1"/>
    <col min="12" max="12" width="17.33203125" customWidth="1"/>
    <col min="13" max="13" width="15.33203125" customWidth="1"/>
    <col min="14" max="14" width="17.44140625" bestFit="1" customWidth="1"/>
    <col min="15" max="15" width="37.88671875" customWidth="1"/>
    <col min="16" max="16" width="17.77734375" bestFit="1" customWidth="1"/>
    <col min="17" max="17" width="17.88671875" bestFit="1" customWidth="1"/>
    <col min="18" max="18" width="30.109375" bestFit="1" customWidth="1"/>
    <col min="19" max="19" width="30.88671875" bestFit="1" customWidth="1"/>
    <col min="20" max="20" width="21.88671875" customWidth="1"/>
    <col min="28" max="28" width="11.33203125" customWidth="1"/>
  </cols>
  <sheetData>
    <row r="1" spans="1:20" ht="18" x14ac:dyDescent="0.35">
      <c r="A1" s="7" t="s">
        <v>0</v>
      </c>
      <c r="B1" s="7" t="s">
        <v>79</v>
      </c>
      <c r="C1" s="7" t="s">
        <v>1</v>
      </c>
      <c r="D1" s="7" t="s">
        <v>2</v>
      </c>
      <c r="E1" s="7" t="s">
        <v>3</v>
      </c>
      <c r="F1" s="7" t="s">
        <v>4</v>
      </c>
      <c r="G1" s="7" t="s">
        <v>5</v>
      </c>
      <c r="H1" s="8" t="s">
        <v>6</v>
      </c>
      <c r="I1" s="9" t="s">
        <v>7</v>
      </c>
      <c r="J1" s="7" t="s">
        <v>8</v>
      </c>
      <c r="K1" s="7" t="s">
        <v>9</v>
      </c>
      <c r="L1" s="7" t="s">
        <v>10</v>
      </c>
      <c r="M1" s="11" t="s">
        <v>81</v>
      </c>
      <c r="N1" s="10" t="s">
        <v>82</v>
      </c>
      <c r="O1" s="10" t="s">
        <v>96</v>
      </c>
      <c r="Q1" s="7" t="s">
        <v>97</v>
      </c>
      <c r="R1" s="7" t="s">
        <v>98</v>
      </c>
      <c r="S1" s="7" t="s">
        <v>97</v>
      </c>
      <c r="T1" s="7" t="s">
        <v>98</v>
      </c>
    </row>
    <row r="2" spans="1:20" x14ac:dyDescent="0.3">
      <c r="A2" t="s">
        <v>11</v>
      </c>
      <c r="B2" t="s">
        <v>74</v>
      </c>
      <c r="C2" t="s">
        <v>12</v>
      </c>
      <c r="D2" t="s">
        <v>13</v>
      </c>
      <c r="E2" t="s">
        <v>14</v>
      </c>
      <c r="F2" t="s">
        <v>12</v>
      </c>
      <c r="G2">
        <v>2</v>
      </c>
      <c r="H2" s="2">
        <v>55000</v>
      </c>
      <c r="I2" s="1">
        <v>46034</v>
      </c>
      <c r="J2" t="s">
        <v>15</v>
      </c>
      <c r="K2">
        <v>5</v>
      </c>
      <c r="L2" t="s">
        <v>16</v>
      </c>
      <c r="M2" s="12">
        <f t="shared" ref="M2:M20" si="0">G2*H2</f>
        <v>110000</v>
      </c>
      <c r="N2" s="3" t="str" cm="1">
        <f t="array" ref="N2:N20">IF(K2:K20&gt;=4,"Good","Poor")</f>
        <v>Good</v>
      </c>
      <c r="O2" s="3" t="str">
        <f t="shared" ref="O2:O20" si="1">CONCATENATE(B2,"-",C2,"-",D2,"")</f>
        <v>Rahul Sharma-Electronics-Delhi</v>
      </c>
      <c r="Q2" t="str">
        <f>VLOOKUP(L2,Manager_Data!A:C,2,FALSE)</f>
        <v>Aman Khanna</v>
      </c>
      <c r="R2" t="str">
        <f>VLOOKUP(L2,Manager_Data!A:C,3,FALSE)</f>
        <v>North</v>
      </c>
      <c r="S2" t="str">
        <f>_xlfn.XLOOKUP(L2,Manager_Data!A:A,Manager_Data!B:B,"no found")</f>
        <v>Aman Khanna</v>
      </c>
      <c r="T2" t="str" cm="1">
        <f t="array" ref="T2:T20">_xlfn.XLOOKUP(L2:L20,Manager_Data!A:A,Manager_Data!C:C,"no found")</f>
        <v>North</v>
      </c>
    </row>
    <row r="3" spans="1:20" x14ac:dyDescent="0.3">
      <c r="A3" t="s">
        <v>17</v>
      </c>
      <c r="B3" t="s">
        <v>75</v>
      </c>
      <c r="C3" t="s">
        <v>18</v>
      </c>
      <c r="D3" t="s">
        <v>19</v>
      </c>
      <c r="E3" t="s">
        <v>20</v>
      </c>
      <c r="F3" t="s">
        <v>18</v>
      </c>
      <c r="G3">
        <v>5</v>
      </c>
      <c r="H3" s="2">
        <v>799</v>
      </c>
      <c r="I3" s="1">
        <v>46037</v>
      </c>
      <c r="J3" t="s">
        <v>21</v>
      </c>
      <c r="K3">
        <v>4</v>
      </c>
      <c r="L3" t="s">
        <v>22</v>
      </c>
      <c r="M3" s="12">
        <f t="shared" si="0"/>
        <v>3995</v>
      </c>
      <c r="N3" s="3" t="str">
        <v>Good</v>
      </c>
      <c r="O3" s="3" t="str">
        <f t="shared" si="1"/>
        <v>Priya Mehta-Fashion-Mumbai</v>
      </c>
      <c r="Q3" t="str">
        <f>VLOOKUP(L3,Manager_Data!A:C,2,FALSE)</f>
        <v>Sneha Verma</v>
      </c>
      <c r="R3" t="str">
        <f>VLOOKUP(L3,Manager_Data!A:C,3,FALSE)</f>
        <v>West</v>
      </c>
      <c r="S3" t="str">
        <f>_xlfn.XLOOKUP(L3,Manager_Data!A:A,Manager_Data!B:B,"no found")</f>
        <v>Sneha Verma</v>
      </c>
      <c r="T3" t="str">
        <v>West</v>
      </c>
    </row>
    <row r="4" spans="1:20" x14ac:dyDescent="0.3">
      <c r="A4" t="s">
        <v>23</v>
      </c>
      <c r="B4" t="s">
        <v>76</v>
      </c>
      <c r="C4" t="s">
        <v>24</v>
      </c>
      <c r="D4" t="s">
        <v>13</v>
      </c>
      <c r="E4" t="s">
        <v>25</v>
      </c>
      <c r="F4" t="s">
        <v>24</v>
      </c>
      <c r="G4">
        <v>3</v>
      </c>
      <c r="H4" s="2">
        <v>1200</v>
      </c>
      <c r="I4" s="1">
        <v>46040</v>
      </c>
      <c r="J4" t="s">
        <v>26</v>
      </c>
      <c r="K4">
        <v>3</v>
      </c>
      <c r="L4" t="s">
        <v>27</v>
      </c>
      <c r="M4" s="12">
        <f t="shared" si="0"/>
        <v>3600</v>
      </c>
      <c r="N4" s="3" t="str">
        <v>Poor</v>
      </c>
      <c r="O4" s="3" t="str">
        <f t="shared" si="1"/>
        <v>Amit Verma-Grocery-Delhi</v>
      </c>
      <c r="Q4" t="str">
        <f>VLOOKUP(L4,Manager_Data!A:C,2,FALSE)</f>
        <v>Rajat Malhotra</v>
      </c>
      <c r="R4" t="str">
        <f>VLOOKUP(L4,Manager_Data!A:C,3,FALSE)</f>
        <v>Central</v>
      </c>
      <c r="S4" t="str">
        <f>_xlfn.XLOOKUP(L4,Manager_Data!A:A,Manager_Data!B:B,"no found")</f>
        <v>Rajat Malhotra</v>
      </c>
      <c r="T4" t="str">
        <v>Central</v>
      </c>
    </row>
    <row r="5" spans="1:20" x14ac:dyDescent="0.3">
      <c r="A5" t="s">
        <v>28</v>
      </c>
      <c r="B5" t="s">
        <v>29</v>
      </c>
      <c r="C5" t="s">
        <v>12</v>
      </c>
      <c r="D5" t="s">
        <v>30</v>
      </c>
      <c r="E5" t="s">
        <v>31</v>
      </c>
      <c r="F5" t="s">
        <v>12</v>
      </c>
      <c r="G5">
        <v>10</v>
      </c>
      <c r="H5" s="2">
        <v>599</v>
      </c>
      <c r="I5" s="1">
        <v>46042</v>
      </c>
      <c r="J5" t="s">
        <v>15</v>
      </c>
      <c r="K5">
        <v>5</v>
      </c>
      <c r="L5" t="s">
        <v>16</v>
      </c>
      <c r="M5" s="12">
        <f t="shared" si="0"/>
        <v>5990</v>
      </c>
      <c r="N5" s="3" t="str">
        <v>Good</v>
      </c>
      <c r="O5" s="3" t="str">
        <f t="shared" si="1"/>
        <v>Neha Kapoor-Electronics-Pune</v>
      </c>
      <c r="Q5" t="str">
        <f>VLOOKUP(L5,Manager_Data!A:C,2,FALSE)</f>
        <v>Aman Khanna</v>
      </c>
      <c r="R5" t="str">
        <f>VLOOKUP(L5,Manager_Data!A:C,3,FALSE)</f>
        <v>North</v>
      </c>
      <c r="S5" t="str">
        <f>_xlfn.XLOOKUP(L5,Manager_Data!A:A,Manager_Data!B:B,"no found")</f>
        <v>Aman Khanna</v>
      </c>
      <c r="T5" t="str">
        <v>North</v>
      </c>
    </row>
    <row r="6" spans="1:20" x14ac:dyDescent="0.3">
      <c r="A6" t="s">
        <v>32</v>
      </c>
      <c r="B6" t="s">
        <v>33</v>
      </c>
      <c r="C6" t="s">
        <v>18</v>
      </c>
      <c r="D6" t="s">
        <v>13</v>
      </c>
      <c r="E6" t="s">
        <v>34</v>
      </c>
      <c r="F6" t="s">
        <v>18</v>
      </c>
      <c r="G6">
        <v>4</v>
      </c>
      <c r="H6" s="2">
        <v>1899</v>
      </c>
      <c r="I6" s="1">
        <v>46044</v>
      </c>
      <c r="J6" t="s">
        <v>21</v>
      </c>
      <c r="K6">
        <v>2</v>
      </c>
      <c r="L6" t="s">
        <v>22</v>
      </c>
      <c r="M6" s="12">
        <f t="shared" si="0"/>
        <v>7596</v>
      </c>
      <c r="N6" s="3" t="str">
        <v>Poor</v>
      </c>
      <c r="O6" s="3" t="str">
        <f t="shared" si="1"/>
        <v>Rohit Singh-Fashion-Delhi</v>
      </c>
      <c r="Q6" t="str">
        <f>VLOOKUP(L6,Manager_Data!A:C,2,FALSE)</f>
        <v>Sneha Verma</v>
      </c>
      <c r="R6" t="str">
        <f>VLOOKUP(L6,Manager_Data!A:C,3,FALSE)</f>
        <v>West</v>
      </c>
      <c r="S6" t="str">
        <f>_xlfn.XLOOKUP(L6,Manager_Data!A:A,Manager_Data!B:B,"no found")</f>
        <v>Sneha Verma</v>
      </c>
      <c r="T6" t="str">
        <v>West</v>
      </c>
    </row>
    <row r="7" spans="1:20" x14ac:dyDescent="0.3">
      <c r="A7" t="s">
        <v>35</v>
      </c>
      <c r="B7" t="s">
        <v>36</v>
      </c>
      <c r="C7" t="s">
        <v>24</v>
      </c>
      <c r="D7" t="s">
        <v>19</v>
      </c>
      <c r="E7" t="s">
        <v>37</v>
      </c>
      <c r="F7" t="s">
        <v>24</v>
      </c>
      <c r="G7">
        <v>6</v>
      </c>
      <c r="H7" s="2">
        <v>450</v>
      </c>
      <c r="I7" s="1">
        <v>46047</v>
      </c>
      <c r="J7" t="s">
        <v>26</v>
      </c>
      <c r="K7">
        <v>4</v>
      </c>
      <c r="L7" t="s">
        <v>27</v>
      </c>
      <c r="M7" s="12">
        <f t="shared" si="0"/>
        <v>2700</v>
      </c>
      <c r="N7" s="3" t="str">
        <v>Good</v>
      </c>
      <c r="O7" s="3" t="str">
        <f t="shared" si="1"/>
        <v>Karan Malhotra-Grocery-Mumbai</v>
      </c>
      <c r="Q7" t="str">
        <f>VLOOKUP(L7,Manager_Data!A:C,2,FALSE)</f>
        <v>Rajat Malhotra</v>
      </c>
      <c r="R7" t="str">
        <f>VLOOKUP(L7,Manager_Data!A:C,3,FALSE)</f>
        <v>Central</v>
      </c>
      <c r="S7" t="str">
        <f>_xlfn.XLOOKUP(L7,Manager_Data!A:A,Manager_Data!B:B,"no found")</f>
        <v>Rajat Malhotra</v>
      </c>
      <c r="T7" t="str">
        <v>Central</v>
      </c>
    </row>
    <row r="8" spans="1:20" x14ac:dyDescent="0.3">
      <c r="A8" t="s">
        <v>38</v>
      </c>
      <c r="B8" t="s">
        <v>39</v>
      </c>
      <c r="C8" t="s">
        <v>12</v>
      </c>
      <c r="D8" t="s">
        <v>40</v>
      </c>
      <c r="E8" t="s">
        <v>41</v>
      </c>
      <c r="F8" t="s">
        <v>12</v>
      </c>
      <c r="G8">
        <v>7</v>
      </c>
      <c r="H8" s="2">
        <v>999</v>
      </c>
      <c r="I8" s="1">
        <v>46049</v>
      </c>
      <c r="J8" t="s">
        <v>15</v>
      </c>
      <c r="K8">
        <v>5</v>
      </c>
      <c r="L8" t="s">
        <v>16</v>
      </c>
      <c r="M8" s="12">
        <f t="shared" si="0"/>
        <v>6993</v>
      </c>
      <c r="N8" s="3" t="str">
        <v>Good</v>
      </c>
      <c r="O8" s="3" t="str">
        <f t="shared" si="1"/>
        <v>Pooja Arora-Electronics-Bangalore</v>
      </c>
      <c r="Q8" t="str">
        <f>VLOOKUP(L8,Manager_Data!A:C,2,FALSE)</f>
        <v>Aman Khanna</v>
      </c>
      <c r="R8" t="str">
        <f>VLOOKUP(L8,Manager_Data!A:C,3,FALSE)</f>
        <v>North</v>
      </c>
      <c r="S8" t="str">
        <f>_xlfn.XLOOKUP(L8,Manager_Data!A:A,Manager_Data!B:B,"no found")</f>
        <v>Aman Khanna</v>
      </c>
      <c r="T8" t="str">
        <v>North</v>
      </c>
    </row>
    <row r="9" spans="1:20" x14ac:dyDescent="0.3">
      <c r="A9" t="s">
        <v>42</v>
      </c>
      <c r="B9" t="s">
        <v>77</v>
      </c>
      <c r="C9" t="s">
        <v>18</v>
      </c>
      <c r="D9" t="s">
        <v>13</v>
      </c>
      <c r="E9" t="s">
        <v>43</v>
      </c>
      <c r="F9" t="s">
        <v>18</v>
      </c>
      <c r="G9">
        <v>2</v>
      </c>
      <c r="H9" s="2">
        <v>2499</v>
      </c>
      <c r="I9" s="1">
        <v>46050</v>
      </c>
      <c r="J9" t="s">
        <v>26</v>
      </c>
      <c r="K9">
        <v>4</v>
      </c>
      <c r="L9" t="s">
        <v>22</v>
      </c>
      <c r="M9" s="12">
        <f t="shared" si="0"/>
        <v>4998</v>
      </c>
      <c r="N9" s="3" t="str">
        <v>Good</v>
      </c>
      <c r="O9" s="3" t="str">
        <f t="shared" si="1"/>
        <v>Anjali Gupta-Fashion-Delhi</v>
      </c>
      <c r="Q9" t="str">
        <f>VLOOKUP(L9,Manager_Data!A:C,2,FALSE)</f>
        <v>Sneha Verma</v>
      </c>
      <c r="R9" t="str">
        <f>VLOOKUP(L9,Manager_Data!A:C,3,FALSE)</f>
        <v>West</v>
      </c>
      <c r="S9" t="str">
        <f>_xlfn.XLOOKUP(L9,Manager_Data!A:A,Manager_Data!B:B,"no found")</f>
        <v>Sneha Verma</v>
      </c>
      <c r="T9" t="str">
        <v>West</v>
      </c>
    </row>
    <row r="10" spans="1:20" x14ac:dyDescent="0.3">
      <c r="A10" t="s">
        <v>44</v>
      </c>
      <c r="B10" t="s">
        <v>45</v>
      </c>
      <c r="C10" t="s">
        <v>24</v>
      </c>
      <c r="D10" t="s">
        <v>30</v>
      </c>
      <c r="E10" t="s">
        <v>46</v>
      </c>
      <c r="F10" t="s">
        <v>24</v>
      </c>
      <c r="G10">
        <v>8</v>
      </c>
      <c r="H10" s="2">
        <v>950</v>
      </c>
      <c r="I10" s="1">
        <v>46052</v>
      </c>
      <c r="J10" t="s">
        <v>21</v>
      </c>
      <c r="K10">
        <v>3</v>
      </c>
      <c r="L10" t="s">
        <v>27</v>
      </c>
      <c r="M10" s="12">
        <f t="shared" si="0"/>
        <v>7600</v>
      </c>
      <c r="N10" s="3" t="str">
        <v>Poor</v>
      </c>
      <c r="O10" s="3" t="str">
        <f t="shared" si="1"/>
        <v>Vikas Kumar-Grocery-Pune</v>
      </c>
      <c r="Q10" t="str">
        <f>VLOOKUP(L10,Manager_Data!A:C,2,FALSE)</f>
        <v>Rajat Malhotra</v>
      </c>
      <c r="R10" t="str">
        <f>VLOOKUP(L10,Manager_Data!A:C,3,FALSE)</f>
        <v>Central</v>
      </c>
      <c r="S10" t="str">
        <f>_xlfn.XLOOKUP(L10,Manager_Data!A:A,Manager_Data!B:B,"no found")</f>
        <v>Rajat Malhotra</v>
      </c>
      <c r="T10" t="str">
        <v>Central</v>
      </c>
    </row>
    <row r="11" spans="1:20" x14ac:dyDescent="0.3">
      <c r="A11" t="s">
        <v>47</v>
      </c>
      <c r="B11" t="s">
        <v>48</v>
      </c>
      <c r="C11" t="s">
        <v>12</v>
      </c>
      <c r="D11" t="s">
        <v>13</v>
      </c>
      <c r="E11" t="s">
        <v>49</v>
      </c>
      <c r="F11" t="s">
        <v>12</v>
      </c>
      <c r="G11">
        <v>1</v>
      </c>
      <c r="H11" s="2">
        <v>12500</v>
      </c>
      <c r="I11" s="1">
        <v>46054</v>
      </c>
      <c r="J11" t="s">
        <v>15</v>
      </c>
      <c r="K11">
        <v>5</v>
      </c>
      <c r="L11" t="s">
        <v>16</v>
      </c>
      <c r="M11" s="12">
        <f t="shared" si="0"/>
        <v>12500</v>
      </c>
      <c r="N11" s="3" t="str">
        <v>Good</v>
      </c>
      <c r="O11" s="3" t="str">
        <f t="shared" si="1"/>
        <v>Riya Sharma-Electronics-Delhi</v>
      </c>
      <c r="Q11" t="str">
        <f>VLOOKUP(L11,Manager_Data!A:C,2,FALSE)</f>
        <v>Aman Khanna</v>
      </c>
      <c r="R11" t="str">
        <f>VLOOKUP(L11,Manager_Data!A:C,3,FALSE)</f>
        <v>North</v>
      </c>
      <c r="S11" t="str">
        <f>_xlfn.XLOOKUP(L11,Manager_Data!A:A,Manager_Data!B:B,"no found")</f>
        <v>Aman Khanna</v>
      </c>
      <c r="T11" t="str">
        <v>North</v>
      </c>
    </row>
    <row r="12" spans="1:20" x14ac:dyDescent="0.3">
      <c r="A12" t="s">
        <v>50</v>
      </c>
      <c r="B12" t="s">
        <v>51</v>
      </c>
      <c r="C12" t="s">
        <v>18</v>
      </c>
      <c r="D12" t="s">
        <v>19</v>
      </c>
      <c r="E12" t="s">
        <v>52</v>
      </c>
      <c r="F12" t="s">
        <v>18</v>
      </c>
      <c r="G12">
        <v>3</v>
      </c>
      <c r="H12" s="2">
        <v>3499</v>
      </c>
      <c r="I12" s="1">
        <v>46057</v>
      </c>
      <c r="J12" t="s">
        <v>26</v>
      </c>
      <c r="K12">
        <v>4</v>
      </c>
      <c r="L12" t="s">
        <v>22</v>
      </c>
      <c r="M12" s="12">
        <f t="shared" si="0"/>
        <v>10497</v>
      </c>
      <c r="N12" s="3" t="str">
        <v>Good</v>
      </c>
      <c r="O12" s="3" t="str">
        <f t="shared" si="1"/>
        <v>Simran Kaur-Fashion-Mumbai</v>
      </c>
      <c r="Q12" t="str">
        <f>VLOOKUP(L12,Manager_Data!A:C,2,FALSE)</f>
        <v>Sneha Verma</v>
      </c>
      <c r="R12" t="str">
        <f>VLOOKUP(L12,Manager_Data!A:C,3,FALSE)</f>
        <v>West</v>
      </c>
      <c r="S12" t="str">
        <f>_xlfn.XLOOKUP(L12,Manager_Data!A:A,Manager_Data!B:B,"no found")</f>
        <v>Sneha Verma</v>
      </c>
      <c r="T12" t="str">
        <v>West</v>
      </c>
    </row>
    <row r="13" spans="1:20" x14ac:dyDescent="0.3">
      <c r="A13" t="s">
        <v>53</v>
      </c>
      <c r="B13" t="s">
        <v>54</v>
      </c>
      <c r="C13" t="s">
        <v>24</v>
      </c>
      <c r="D13" t="s">
        <v>40</v>
      </c>
      <c r="E13" t="s">
        <v>55</v>
      </c>
      <c r="F13" t="s">
        <v>24</v>
      </c>
      <c r="G13">
        <v>5</v>
      </c>
      <c r="H13" s="2">
        <v>1800</v>
      </c>
      <c r="I13" s="1">
        <v>46059</v>
      </c>
      <c r="J13" t="s">
        <v>21</v>
      </c>
      <c r="K13">
        <v>5</v>
      </c>
      <c r="L13" t="s">
        <v>27</v>
      </c>
      <c r="M13" s="12">
        <f t="shared" si="0"/>
        <v>9000</v>
      </c>
      <c r="N13" s="3" t="str">
        <v>Good</v>
      </c>
      <c r="O13" s="3" t="str">
        <f t="shared" si="1"/>
        <v>Arjun Patel-Grocery-Bangalore</v>
      </c>
      <c r="Q13" t="str">
        <f>VLOOKUP(L13,Manager_Data!A:C,2,FALSE)</f>
        <v>Rajat Malhotra</v>
      </c>
      <c r="R13" t="str">
        <f>VLOOKUP(L13,Manager_Data!A:C,3,FALSE)</f>
        <v>Central</v>
      </c>
      <c r="S13" t="str">
        <f>_xlfn.XLOOKUP(L13,Manager_Data!A:A,Manager_Data!B:B,"no found")</f>
        <v>Rajat Malhotra</v>
      </c>
      <c r="T13" t="str">
        <v>Central</v>
      </c>
    </row>
    <row r="14" spans="1:20" x14ac:dyDescent="0.3">
      <c r="A14" t="s">
        <v>56</v>
      </c>
      <c r="B14" t="s">
        <v>78</v>
      </c>
      <c r="C14" t="s">
        <v>12</v>
      </c>
      <c r="D14" t="s">
        <v>30</v>
      </c>
      <c r="E14" t="s">
        <v>57</v>
      </c>
      <c r="F14" t="s">
        <v>12</v>
      </c>
      <c r="G14">
        <v>2</v>
      </c>
      <c r="H14" s="2">
        <v>22000</v>
      </c>
      <c r="I14" s="1">
        <v>46060</v>
      </c>
      <c r="J14" t="s">
        <v>15</v>
      </c>
      <c r="K14">
        <v>3</v>
      </c>
      <c r="L14" t="s">
        <v>16</v>
      </c>
      <c r="M14" s="12">
        <f t="shared" si="0"/>
        <v>44000</v>
      </c>
      <c r="N14" s="3" t="str">
        <v>Poor</v>
      </c>
      <c r="O14" s="3" t="str">
        <f t="shared" si="1"/>
        <v>Meena Joshi-Electronics-Pune</v>
      </c>
      <c r="Q14" t="str">
        <f>VLOOKUP(L14,Manager_Data!A:C,2,FALSE)</f>
        <v>Aman Khanna</v>
      </c>
      <c r="R14" t="str">
        <f>VLOOKUP(L14,Manager_Data!A:C,3,FALSE)</f>
        <v>North</v>
      </c>
      <c r="S14" t="str">
        <f>_xlfn.XLOOKUP(L14,Manager_Data!A:A,Manager_Data!B:B,"no found")</f>
        <v>Aman Khanna</v>
      </c>
      <c r="T14" t="str">
        <v>North</v>
      </c>
    </row>
    <row r="15" spans="1:20" x14ac:dyDescent="0.3">
      <c r="A15" t="s">
        <v>58</v>
      </c>
      <c r="B15" t="s">
        <v>59</v>
      </c>
      <c r="C15" t="s">
        <v>18</v>
      </c>
      <c r="D15" t="s">
        <v>13</v>
      </c>
      <c r="E15" t="s">
        <v>60</v>
      </c>
      <c r="F15" t="s">
        <v>18</v>
      </c>
      <c r="G15">
        <v>6</v>
      </c>
      <c r="H15" s="2">
        <v>399</v>
      </c>
      <c r="I15" s="1">
        <v>46062</v>
      </c>
      <c r="J15" t="s">
        <v>26</v>
      </c>
      <c r="K15">
        <v>4</v>
      </c>
      <c r="L15" t="s">
        <v>22</v>
      </c>
      <c r="M15" s="12">
        <f t="shared" si="0"/>
        <v>2394</v>
      </c>
      <c r="N15" s="3" t="str">
        <v>Good</v>
      </c>
      <c r="O15" s="3" t="str">
        <f t="shared" si="1"/>
        <v>Sachin Yadav-Fashion-Delhi</v>
      </c>
      <c r="Q15" t="str">
        <f>VLOOKUP(L15,Manager_Data!A:C,2,FALSE)</f>
        <v>Sneha Verma</v>
      </c>
      <c r="R15" t="str">
        <f>VLOOKUP(L15,Manager_Data!A:C,3,FALSE)</f>
        <v>West</v>
      </c>
      <c r="S15" t="str">
        <f>_xlfn.XLOOKUP(L15,Manager_Data!A:A,Manager_Data!B:B,"no found")</f>
        <v>Sneha Verma</v>
      </c>
      <c r="T15" t="str">
        <v>West</v>
      </c>
    </row>
    <row r="16" spans="1:20" x14ac:dyDescent="0.3">
      <c r="A16" t="s">
        <v>61</v>
      </c>
      <c r="B16" t="s">
        <v>62</v>
      </c>
      <c r="C16" t="s">
        <v>24</v>
      </c>
      <c r="D16" t="s">
        <v>19</v>
      </c>
      <c r="E16" t="s">
        <v>63</v>
      </c>
      <c r="F16" t="s">
        <v>24</v>
      </c>
      <c r="G16">
        <v>4</v>
      </c>
      <c r="H16" s="2">
        <v>1450</v>
      </c>
      <c r="I16" s="1">
        <v>46064</v>
      </c>
      <c r="J16" t="s">
        <v>21</v>
      </c>
      <c r="K16">
        <v>5</v>
      </c>
      <c r="L16" t="s">
        <v>27</v>
      </c>
      <c r="M16" s="12">
        <f t="shared" si="0"/>
        <v>5800</v>
      </c>
      <c r="N16" s="3" t="str">
        <v>Good</v>
      </c>
      <c r="O16" s="3" t="str">
        <f t="shared" si="1"/>
        <v>Kajal Singh-Grocery-Mumbai</v>
      </c>
      <c r="Q16" t="str">
        <f>VLOOKUP(L16,Manager_Data!A:C,2,FALSE)</f>
        <v>Rajat Malhotra</v>
      </c>
      <c r="R16" t="str">
        <f>VLOOKUP(L16,Manager_Data!A:C,3,FALSE)</f>
        <v>Central</v>
      </c>
      <c r="S16" t="str">
        <f>_xlfn.XLOOKUP(L16,Manager_Data!A:A,Manager_Data!B:B,"no found")</f>
        <v>Rajat Malhotra</v>
      </c>
      <c r="T16" t="str">
        <v>Central</v>
      </c>
    </row>
    <row r="17" spans="1:20" x14ac:dyDescent="0.3">
      <c r="A17" t="s">
        <v>64</v>
      </c>
      <c r="B17" t="s">
        <v>65</v>
      </c>
      <c r="C17" t="s">
        <v>12</v>
      </c>
      <c r="D17" t="s">
        <v>40</v>
      </c>
      <c r="E17" t="s">
        <v>66</v>
      </c>
      <c r="F17" t="s">
        <v>12</v>
      </c>
      <c r="G17">
        <v>3</v>
      </c>
      <c r="H17" s="2">
        <v>4999</v>
      </c>
      <c r="I17" s="1">
        <v>46066</v>
      </c>
      <c r="J17" t="s">
        <v>15</v>
      </c>
      <c r="K17">
        <v>2</v>
      </c>
      <c r="L17" t="s">
        <v>16</v>
      </c>
      <c r="M17" s="12">
        <f t="shared" si="0"/>
        <v>14997</v>
      </c>
      <c r="N17" s="3" t="str">
        <v>Poor</v>
      </c>
      <c r="O17" s="3" t="str">
        <f t="shared" si="1"/>
        <v>Deepak Kumar-Electronics-Bangalore</v>
      </c>
      <c r="Q17" t="str">
        <f>VLOOKUP(L17,Manager_Data!A:C,2,FALSE)</f>
        <v>Aman Khanna</v>
      </c>
      <c r="R17" t="str">
        <f>VLOOKUP(L17,Manager_Data!A:C,3,FALSE)</f>
        <v>North</v>
      </c>
      <c r="S17" t="str">
        <f>_xlfn.XLOOKUP(L17,Manager_Data!A:A,Manager_Data!B:B,"no found")</f>
        <v>Aman Khanna</v>
      </c>
      <c r="T17" t="str">
        <v>North</v>
      </c>
    </row>
    <row r="18" spans="1:20" x14ac:dyDescent="0.3">
      <c r="A18" t="s">
        <v>67</v>
      </c>
      <c r="B18" t="s">
        <v>75</v>
      </c>
      <c r="C18" t="s">
        <v>18</v>
      </c>
      <c r="D18" t="s">
        <v>13</v>
      </c>
      <c r="E18" t="s">
        <v>20</v>
      </c>
      <c r="F18" t="s">
        <v>18</v>
      </c>
      <c r="G18">
        <v>8</v>
      </c>
      <c r="H18" s="2">
        <v>799</v>
      </c>
      <c r="I18" s="1">
        <v>46068</v>
      </c>
      <c r="J18" t="s">
        <v>26</v>
      </c>
      <c r="K18">
        <v>5</v>
      </c>
      <c r="L18" t="s">
        <v>22</v>
      </c>
      <c r="M18" s="12">
        <f t="shared" si="0"/>
        <v>6392</v>
      </c>
      <c r="N18" s="3" t="str">
        <v>Good</v>
      </c>
      <c r="O18" s="3" t="str">
        <f t="shared" si="1"/>
        <v>Priya Mehta-Fashion-Delhi</v>
      </c>
      <c r="Q18" t="str">
        <f>VLOOKUP(L18,Manager_Data!A:C,2,FALSE)</f>
        <v>Sneha Verma</v>
      </c>
      <c r="R18" t="str">
        <f>VLOOKUP(L18,Manager_Data!A:C,3,FALSE)</f>
        <v>West</v>
      </c>
      <c r="S18" t="str">
        <f>_xlfn.XLOOKUP(L18,Manager_Data!A:A,Manager_Data!B:B,"no found")</f>
        <v>Sneha Verma</v>
      </c>
      <c r="T18" t="str">
        <v>West</v>
      </c>
    </row>
    <row r="19" spans="1:20" x14ac:dyDescent="0.3">
      <c r="A19" t="s">
        <v>68</v>
      </c>
      <c r="B19" t="s">
        <v>69</v>
      </c>
      <c r="C19" t="s">
        <v>24</v>
      </c>
      <c r="D19" t="s">
        <v>30</v>
      </c>
      <c r="E19" t="s">
        <v>70</v>
      </c>
      <c r="F19" t="s">
        <v>24</v>
      </c>
      <c r="G19">
        <v>7</v>
      </c>
      <c r="H19" s="2">
        <v>850</v>
      </c>
      <c r="I19" s="1">
        <v>46069</v>
      </c>
      <c r="J19" t="s">
        <v>21</v>
      </c>
      <c r="K19">
        <v>4</v>
      </c>
      <c r="L19" t="s">
        <v>27</v>
      </c>
      <c r="M19" s="12">
        <f t="shared" si="0"/>
        <v>5950</v>
      </c>
      <c r="N19" s="3" t="str">
        <v>Good</v>
      </c>
      <c r="O19" s="3" t="str">
        <f t="shared" si="1"/>
        <v>Nitin Arora-Grocery-Pune</v>
      </c>
      <c r="Q19" t="str">
        <f>VLOOKUP(L19,Manager_Data!A:C,2,FALSE)</f>
        <v>Rajat Malhotra</v>
      </c>
      <c r="R19" t="str">
        <f>VLOOKUP(L19,Manager_Data!A:C,3,FALSE)</f>
        <v>Central</v>
      </c>
      <c r="S19" t="str">
        <f>_xlfn.XLOOKUP(L19,Manager_Data!A:A,Manager_Data!B:B,"no found")</f>
        <v>Rajat Malhotra</v>
      </c>
      <c r="T19" t="str">
        <v>Central</v>
      </c>
    </row>
    <row r="20" spans="1:20" x14ac:dyDescent="0.3">
      <c r="A20" t="s">
        <v>71</v>
      </c>
      <c r="B20" t="s">
        <v>72</v>
      </c>
      <c r="C20" t="s">
        <v>12</v>
      </c>
      <c r="D20" t="s">
        <v>13</v>
      </c>
      <c r="E20" t="s">
        <v>73</v>
      </c>
      <c r="F20" t="s">
        <v>12</v>
      </c>
      <c r="G20">
        <v>1</v>
      </c>
      <c r="H20" s="2">
        <v>45000</v>
      </c>
      <c r="I20" s="1">
        <v>46071</v>
      </c>
      <c r="J20" t="s">
        <v>15</v>
      </c>
      <c r="K20">
        <v>5</v>
      </c>
      <c r="L20" t="s">
        <v>16</v>
      </c>
      <c r="M20" s="13">
        <f t="shared" si="0"/>
        <v>45000</v>
      </c>
      <c r="N20" s="4" t="str">
        <v>Good</v>
      </c>
      <c r="O20" s="4" t="str">
        <f t="shared" si="1"/>
        <v>Ritika Jain-Electronics-Delhi</v>
      </c>
      <c r="Q20" t="str">
        <f>VLOOKUP(L20,Manager_Data!A:C,2,FALSE)</f>
        <v>Aman Khanna</v>
      </c>
      <c r="R20" t="str">
        <f>VLOOKUP(L20,Manager_Data!A:C,3,FALSE)</f>
        <v>North</v>
      </c>
      <c r="S20" t="str">
        <f>_xlfn.XLOOKUP(L20,Manager_Data!A:A,Manager_Data!B:B,"no found")</f>
        <v>Aman Khanna</v>
      </c>
      <c r="T20" t="str">
        <v>North</v>
      </c>
    </row>
    <row r="21" spans="1:20" x14ac:dyDescent="0.3">
      <c r="M21" s="23" t="s">
        <v>111</v>
      </c>
      <c r="N21" s="23"/>
      <c r="O21" s="23"/>
      <c r="Q21" s="24" t="s">
        <v>112</v>
      </c>
      <c r="R21" s="24"/>
      <c r="S21" s="24"/>
      <c r="T21" s="24"/>
    </row>
    <row r="22" spans="1:20" x14ac:dyDescent="0.3">
      <c r="M22" s="23"/>
      <c r="N22" s="23"/>
      <c r="O22" s="23"/>
      <c r="Q22" s="24"/>
      <c r="R22" s="24"/>
      <c r="S22" s="24"/>
      <c r="T22" s="24"/>
    </row>
    <row r="23" spans="1:20" x14ac:dyDescent="0.3">
      <c r="M23" s="23"/>
      <c r="N23" s="23"/>
      <c r="O23" s="23"/>
      <c r="Q23" s="24"/>
      <c r="R23" s="24"/>
      <c r="S23" s="24"/>
      <c r="T23" s="24"/>
    </row>
    <row r="24" spans="1:20" x14ac:dyDescent="0.3">
      <c r="M24" s="5"/>
    </row>
    <row r="25" spans="1:20" x14ac:dyDescent="0.3">
      <c r="A25" s="22" t="s">
        <v>110</v>
      </c>
      <c r="B25" s="22"/>
      <c r="C25" s="22"/>
      <c r="D25" s="22"/>
      <c r="E25" s="22"/>
      <c r="F25" s="22"/>
      <c r="G25" s="22"/>
      <c r="H25" s="22"/>
      <c r="I25" s="22"/>
      <c r="J25" s="22"/>
      <c r="K25" s="22"/>
      <c r="L25" s="22"/>
      <c r="M25" s="22"/>
      <c r="N25" s="22"/>
      <c r="O25" s="22"/>
    </row>
    <row r="26" spans="1:20" x14ac:dyDescent="0.3">
      <c r="A26" s="22"/>
      <c r="B26" s="22"/>
      <c r="C26" s="22"/>
      <c r="D26" s="22"/>
      <c r="E26" s="22"/>
      <c r="F26" s="22"/>
      <c r="G26" s="22"/>
      <c r="H26" s="22"/>
      <c r="I26" s="22"/>
      <c r="J26" s="22"/>
      <c r="K26" s="22"/>
      <c r="L26" s="22"/>
      <c r="M26" s="22"/>
      <c r="N26" s="22"/>
      <c r="O26" s="22"/>
    </row>
    <row r="27" spans="1:20" x14ac:dyDescent="0.3">
      <c r="A27" s="22"/>
      <c r="B27" s="22"/>
      <c r="C27" s="22"/>
      <c r="D27" s="22"/>
      <c r="E27" s="22"/>
      <c r="F27" s="22"/>
      <c r="G27" s="22"/>
      <c r="H27" s="22"/>
      <c r="I27" s="22"/>
      <c r="J27" s="22"/>
      <c r="K27" s="22"/>
      <c r="L27" s="22"/>
      <c r="M27" s="22"/>
      <c r="N27" s="22"/>
      <c r="O27" s="22"/>
    </row>
    <row r="29" spans="1:20" x14ac:dyDescent="0.3">
      <c r="A29" t="s">
        <v>83</v>
      </c>
      <c r="B29">
        <v>7</v>
      </c>
    </row>
    <row r="30" spans="1:20" x14ac:dyDescent="0.3">
      <c r="A30" t="s">
        <v>84</v>
      </c>
      <c r="B30">
        <v>6</v>
      </c>
    </row>
    <row r="31" spans="1:20" x14ac:dyDescent="0.3">
      <c r="A31" t="s">
        <v>85</v>
      </c>
      <c r="B31">
        <v>6</v>
      </c>
    </row>
    <row r="32" spans="1:20" x14ac:dyDescent="0.3">
      <c r="A32" t="s">
        <v>86</v>
      </c>
      <c r="B32">
        <v>3</v>
      </c>
      <c r="M32" s="2"/>
    </row>
    <row r="33" spans="1:2" customFormat="1" x14ac:dyDescent="0.3">
      <c r="A33" t="s">
        <v>88</v>
      </c>
      <c r="B33">
        <v>2</v>
      </c>
    </row>
    <row r="34" spans="1:2" customFormat="1" x14ac:dyDescent="0.3">
      <c r="A34" t="s">
        <v>87</v>
      </c>
      <c r="B34">
        <v>5</v>
      </c>
    </row>
    <row r="35" spans="1:2" customFormat="1" x14ac:dyDescent="0.3">
      <c r="A35" t="s">
        <v>89</v>
      </c>
      <c r="B35">
        <v>141097</v>
      </c>
    </row>
    <row r="36" spans="1:2" customFormat="1" x14ac:dyDescent="0.3">
      <c r="A36" s="2" t="s">
        <v>90</v>
      </c>
      <c r="B36" s="2">
        <v>9894</v>
      </c>
    </row>
    <row r="37" spans="1:2" customFormat="1" x14ac:dyDescent="0.3">
      <c r="A37" s="1" t="s">
        <v>91</v>
      </c>
      <c r="B37" s="1">
        <v>34650</v>
      </c>
    </row>
    <row r="38" spans="1:2" customFormat="1" x14ac:dyDescent="0.3">
      <c r="A38" t="s">
        <v>92</v>
      </c>
      <c r="B38">
        <v>167500</v>
      </c>
    </row>
    <row r="39" spans="1:2" customFormat="1" x14ac:dyDescent="0.3">
      <c r="A39" t="s">
        <v>93</v>
      </c>
      <c r="B39">
        <v>8500</v>
      </c>
    </row>
    <row r="40" spans="1:2" customFormat="1" x14ac:dyDescent="0.3">
      <c r="A40" t="s">
        <v>94</v>
      </c>
      <c r="B40">
        <v>239480</v>
      </c>
    </row>
    <row r="41" spans="1:2" customFormat="1" ht="15" thickBot="1" x14ac:dyDescent="0.35">
      <c r="A41" s="6" t="s">
        <v>95</v>
      </c>
      <c r="B41" s="6" t="s">
        <v>109</v>
      </c>
    </row>
  </sheetData>
  <mergeCells count="3">
    <mergeCell ref="A25:O27"/>
    <mergeCell ref="M21:O23"/>
    <mergeCell ref="Q21:T23"/>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52C48-645D-40B3-A068-6264838F2A46}">
  <dimension ref="A1:C4"/>
  <sheetViews>
    <sheetView workbookViewId="0">
      <selection activeCell="D3" sqref="D3"/>
    </sheetView>
  </sheetViews>
  <sheetFormatPr defaultRowHeight="14.4" x14ac:dyDescent="0.3"/>
  <cols>
    <col min="1" max="1" width="12.21875" bestFit="1" customWidth="1"/>
    <col min="2" max="2" width="12.88671875" bestFit="1" customWidth="1"/>
  </cols>
  <sheetData>
    <row r="1" spans="1:3" ht="15.6" x14ac:dyDescent="0.3">
      <c r="A1" s="26" t="s">
        <v>10</v>
      </c>
      <c r="B1" s="26" t="s">
        <v>97</v>
      </c>
      <c r="C1" s="26" t="s">
        <v>98</v>
      </c>
    </row>
    <row r="2" spans="1:3" ht="15.6" x14ac:dyDescent="0.3">
      <c r="A2" s="27" t="s">
        <v>16</v>
      </c>
      <c r="B2" s="27" t="s">
        <v>99</v>
      </c>
      <c r="C2" s="27" t="s">
        <v>100</v>
      </c>
    </row>
    <row r="3" spans="1:3" ht="15.6" x14ac:dyDescent="0.3">
      <c r="A3" s="27" t="s">
        <v>22</v>
      </c>
      <c r="B3" s="27" t="s">
        <v>101</v>
      </c>
      <c r="C3" s="27" t="s">
        <v>102</v>
      </c>
    </row>
    <row r="4" spans="1:3" ht="15.6" x14ac:dyDescent="0.3">
      <c r="A4" s="27" t="s">
        <v>27</v>
      </c>
      <c r="B4" s="27" t="s">
        <v>103</v>
      </c>
      <c r="C4" s="27" t="s">
        <v>104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E2D84-5F42-44FB-A874-7C2E7D085B99}">
  <dimension ref="A1:N20"/>
  <sheetViews>
    <sheetView zoomScale="85" zoomScaleNormal="85" workbookViewId="0">
      <selection activeCell="N20" sqref="N20"/>
    </sheetView>
  </sheetViews>
  <sheetFormatPr defaultRowHeight="14.4" x14ac:dyDescent="0.3"/>
  <cols>
    <col min="1" max="1" width="9.77734375" bestFit="1" customWidth="1"/>
    <col min="2" max="2" width="7.5546875" bestFit="1" customWidth="1"/>
    <col min="3" max="3" width="4.88671875" bestFit="1" customWidth="1"/>
    <col min="4" max="4" width="16.44140625" bestFit="1" customWidth="1"/>
    <col min="5" max="5" width="13.109375" bestFit="1" customWidth="1"/>
    <col min="6" max="6" width="9.109375" bestFit="1" customWidth="1"/>
    <col min="7" max="7" width="9.5546875" bestFit="1" customWidth="1"/>
    <col min="8" max="8" width="10.5546875" bestFit="1" customWidth="1"/>
    <col min="9" max="9" width="10.33203125" bestFit="1" customWidth="1"/>
    <col min="10" max="10" width="10.44140625" style="2" bestFit="1" customWidth="1"/>
    <col min="11" max="11" width="11.88671875" style="1" bestFit="1" customWidth="1"/>
    <col min="12" max="12" width="15" bestFit="1" customWidth="1"/>
    <col min="13" max="13" width="8.44140625" bestFit="1" customWidth="1"/>
    <col min="14" max="14" width="14.5546875" bestFit="1" customWidth="1"/>
    <col min="15" max="15" width="11.33203125" customWidth="1"/>
  </cols>
  <sheetData>
    <row r="1" spans="1:14" x14ac:dyDescent="0.3">
      <c r="A1" t="s">
        <v>0</v>
      </c>
      <c r="B1" t="s">
        <v>113</v>
      </c>
      <c r="C1" t="s">
        <v>114</v>
      </c>
      <c r="D1" t="s">
        <v>79</v>
      </c>
      <c r="E1" t="s">
        <v>1</v>
      </c>
      <c r="F1" t="s">
        <v>2</v>
      </c>
      <c r="G1" t="s">
        <v>3</v>
      </c>
      <c r="H1" t="s">
        <v>4</v>
      </c>
      <c r="I1" t="s">
        <v>5</v>
      </c>
      <c r="J1" s="2" t="s">
        <v>6</v>
      </c>
      <c r="K1" s="1" t="s">
        <v>7</v>
      </c>
      <c r="L1" t="s">
        <v>8</v>
      </c>
      <c r="M1" t="s">
        <v>9</v>
      </c>
      <c r="N1" t="s">
        <v>10</v>
      </c>
    </row>
    <row r="2" spans="1:14" x14ac:dyDescent="0.3">
      <c r="A2" t="s">
        <v>11</v>
      </c>
      <c r="B2" t="s">
        <v>80</v>
      </c>
      <c r="C2">
        <v>101</v>
      </c>
      <c r="D2" t="s">
        <v>74</v>
      </c>
      <c r="E2" t="s">
        <v>12</v>
      </c>
      <c r="F2" t="s">
        <v>13</v>
      </c>
      <c r="G2" t="s">
        <v>14</v>
      </c>
      <c r="H2" t="s">
        <v>12</v>
      </c>
      <c r="I2">
        <v>2</v>
      </c>
      <c r="J2" s="2">
        <v>55000</v>
      </c>
      <c r="K2" s="1">
        <v>46034</v>
      </c>
      <c r="L2" t="s">
        <v>15</v>
      </c>
      <c r="M2">
        <v>5</v>
      </c>
      <c r="N2" t="s">
        <v>16</v>
      </c>
    </row>
    <row r="3" spans="1:14" x14ac:dyDescent="0.3">
      <c r="A3" t="s">
        <v>17</v>
      </c>
      <c r="B3" t="s">
        <v>80</v>
      </c>
      <c r="C3">
        <v>102</v>
      </c>
      <c r="D3" t="s">
        <v>75</v>
      </c>
      <c r="E3" t="s">
        <v>18</v>
      </c>
      <c r="F3" t="s">
        <v>19</v>
      </c>
      <c r="G3" t="s">
        <v>20</v>
      </c>
      <c r="H3" t="s">
        <v>18</v>
      </c>
      <c r="I3">
        <v>5</v>
      </c>
      <c r="J3" s="2">
        <v>799</v>
      </c>
      <c r="K3" s="1">
        <v>46037</v>
      </c>
      <c r="L3" t="s">
        <v>21</v>
      </c>
      <c r="M3">
        <v>4</v>
      </c>
      <c r="N3" t="s">
        <v>22</v>
      </c>
    </row>
    <row r="4" spans="1:14" x14ac:dyDescent="0.3">
      <c r="A4" t="s">
        <v>23</v>
      </c>
      <c r="B4" t="s">
        <v>80</v>
      </c>
      <c r="C4">
        <v>103</v>
      </c>
      <c r="D4" t="s">
        <v>76</v>
      </c>
      <c r="E4" t="s">
        <v>24</v>
      </c>
      <c r="F4" t="s">
        <v>13</v>
      </c>
      <c r="G4" t="s">
        <v>25</v>
      </c>
      <c r="H4" t="s">
        <v>24</v>
      </c>
      <c r="I4">
        <v>3</v>
      </c>
      <c r="J4" s="2">
        <v>1200</v>
      </c>
      <c r="K4" s="1">
        <v>46040</v>
      </c>
      <c r="L4" t="s">
        <v>26</v>
      </c>
      <c r="M4">
        <v>3</v>
      </c>
      <c r="N4" t="s">
        <v>27</v>
      </c>
    </row>
    <row r="5" spans="1:14" x14ac:dyDescent="0.3">
      <c r="A5" t="s">
        <v>28</v>
      </c>
      <c r="B5" t="s">
        <v>80</v>
      </c>
      <c r="C5">
        <v>104</v>
      </c>
      <c r="D5" t="s">
        <v>29</v>
      </c>
      <c r="E5" t="s">
        <v>12</v>
      </c>
      <c r="F5" t="s">
        <v>30</v>
      </c>
      <c r="G5" t="s">
        <v>31</v>
      </c>
      <c r="H5" t="s">
        <v>12</v>
      </c>
      <c r="I5">
        <v>10</v>
      </c>
      <c r="J5" s="2">
        <v>599</v>
      </c>
      <c r="K5" s="1">
        <v>46042</v>
      </c>
      <c r="L5" t="s">
        <v>15</v>
      </c>
      <c r="M5">
        <v>5</v>
      </c>
      <c r="N5" t="s">
        <v>16</v>
      </c>
    </row>
    <row r="6" spans="1:14" x14ac:dyDescent="0.3">
      <c r="A6" t="s">
        <v>32</v>
      </c>
      <c r="B6" t="s">
        <v>80</v>
      </c>
      <c r="C6">
        <v>105</v>
      </c>
      <c r="D6" t="s">
        <v>33</v>
      </c>
      <c r="E6" t="s">
        <v>18</v>
      </c>
      <c r="F6" t="s">
        <v>13</v>
      </c>
      <c r="G6" t="s">
        <v>34</v>
      </c>
      <c r="H6" t="s">
        <v>18</v>
      </c>
      <c r="I6">
        <v>4</v>
      </c>
      <c r="J6" s="2">
        <v>1899</v>
      </c>
      <c r="K6" s="1">
        <v>46044</v>
      </c>
      <c r="L6" t="s">
        <v>21</v>
      </c>
      <c r="M6">
        <v>2</v>
      </c>
      <c r="N6" t="s">
        <v>22</v>
      </c>
    </row>
    <row r="7" spans="1:14" x14ac:dyDescent="0.3">
      <c r="A7" t="s">
        <v>35</v>
      </c>
      <c r="B7" t="s">
        <v>80</v>
      </c>
      <c r="C7">
        <v>106</v>
      </c>
      <c r="D7" t="s">
        <v>36</v>
      </c>
      <c r="E7" t="s">
        <v>24</v>
      </c>
      <c r="F7" t="s">
        <v>19</v>
      </c>
      <c r="G7" t="s">
        <v>37</v>
      </c>
      <c r="H7" t="s">
        <v>24</v>
      </c>
      <c r="I7">
        <v>6</v>
      </c>
      <c r="J7" s="2">
        <v>450</v>
      </c>
      <c r="K7" s="1">
        <v>46047</v>
      </c>
      <c r="L7" t="s">
        <v>26</v>
      </c>
      <c r="M7">
        <v>4</v>
      </c>
      <c r="N7" t="s">
        <v>27</v>
      </c>
    </row>
    <row r="8" spans="1:14" x14ac:dyDescent="0.3">
      <c r="A8" t="s">
        <v>38</v>
      </c>
      <c r="B8" t="s">
        <v>80</v>
      </c>
      <c r="C8">
        <v>107</v>
      </c>
      <c r="D8" t="s">
        <v>39</v>
      </c>
      <c r="E8" t="s">
        <v>12</v>
      </c>
      <c r="F8" t="s">
        <v>40</v>
      </c>
      <c r="G8" t="s">
        <v>41</v>
      </c>
      <c r="H8" t="s">
        <v>12</v>
      </c>
      <c r="I8">
        <v>7</v>
      </c>
      <c r="J8" s="2">
        <v>999</v>
      </c>
      <c r="K8" s="1">
        <v>46049</v>
      </c>
      <c r="L8" t="s">
        <v>15</v>
      </c>
      <c r="M8">
        <v>5</v>
      </c>
      <c r="N8" t="s">
        <v>16</v>
      </c>
    </row>
    <row r="9" spans="1:14" x14ac:dyDescent="0.3">
      <c r="A9" t="s">
        <v>42</v>
      </c>
      <c r="B9" t="s">
        <v>80</v>
      </c>
      <c r="C9">
        <v>108</v>
      </c>
      <c r="D9" t="s">
        <v>77</v>
      </c>
      <c r="E9" t="s">
        <v>18</v>
      </c>
      <c r="F9" t="s">
        <v>13</v>
      </c>
      <c r="G9" t="s">
        <v>43</v>
      </c>
      <c r="H9" t="s">
        <v>18</v>
      </c>
      <c r="I9">
        <v>2</v>
      </c>
      <c r="J9" s="2">
        <v>2499</v>
      </c>
      <c r="K9" s="1">
        <v>46050</v>
      </c>
      <c r="L9" t="s">
        <v>26</v>
      </c>
      <c r="M9">
        <v>4</v>
      </c>
      <c r="N9" t="s">
        <v>22</v>
      </c>
    </row>
    <row r="10" spans="1:14" x14ac:dyDescent="0.3">
      <c r="A10" t="s">
        <v>44</v>
      </c>
      <c r="B10" t="s">
        <v>80</v>
      </c>
      <c r="C10">
        <v>109</v>
      </c>
      <c r="D10" t="s">
        <v>45</v>
      </c>
      <c r="E10" t="s">
        <v>24</v>
      </c>
      <c r="F10" t="s">
        <v>30</v>
      </c>
      <c r="G10" t="s">
        <v>46</v>
      </c>
      <c r="H10" t="s">
        <v>24</v>
      </c>
      <c r="I10">
        <v>8</v>
      </c>
      <c r="J10" s="2">
        <v>950</v>
      </c>
      <c r="K10" s="1">
        <v>46052</v>
      </c>
      <c r="L10" t="s">
        <v>21</v>
      </c>
      <c r="M10">
        <v>3</v>
      </c>
      <c r="N10" t="s">
        <v>27</v>
      </c>
    </row>
    <row r="11" spans="1:14" x14ac:dyDescent="0.3">
      <c r="A11" t="s">
        <v>47</v>
      </c>
      <c r="B11" t="s">
        <v>80</v>
      </c>
      <c r="C11">
        <v>110</v>
      </c>
      <c r="D11" t="s">
        <v>48</v>
      </c>
      <c r="E11" t="s">
        <v>12</v>
      </c>
      <c r="F11" t="s">
        <v>13</v>
      </c>
      <c r="G11" t="s">
        <v>49</v>
      </c>
      <c r="H11" t="s">
        <v>12</v>
      </c>
      <c r="I11">
        <v>1</v>
      </c>
      <c r="J11" s="2">
        <v>12500</v>
      </c>
      <c r="K11" s="1">
        <v>46054</v>
      </c>
      <c r="L11" t="s">
        <v>15</v>
      </c>
      <c r="M11">
        <v>5</v>
      </c>
      <c r="N11" t="s">
        <v>16</v>
      </c>
    </row>
    <row r="12" spans="1:14" x14ac:dyDescent="0.3">
      <c r="A12" t="s">
        <v>50</v>
      </c>
      <c r="B12" t="s">
        <v>80</v>
      </c>
      <c r="C12">
        <v>112</v>
      </c>
      <c r="D12" t="s">
        <v>51</v>
      </c>
      <c r="E12" t="s">
        <v>18</v>
      </c>
      <c r="F12" t="s">
        <v>19</v>
      </c>
      <c r="G12" t="s">
        <v>52</v>
      </c>
      <c r="H12" t="s">
        <v>18</v>
      </c>
      <c r="I12">
        <v>3</v>
      </c>
      <c r="J12" s="2">
        <v>3499</v>
      </c>
      <c r="K12" s="1">
        <v>46057</v>
      </c>
      <c r="L12" t="s">
        <v>26</v>
      </c>
      <c r="M12">
        <v>4</v>
      </c>
      <c r="N12" t="s">
        <v>22</v>
      </c>
    </row>
    <row r="13" spans="1:14" x14ac:dyDescent="0.3">
      <c r="A13" t="s">
        <v>53</v>
      </c>
      <c r="B13" t="s">
        <v>80</v>
      </c>
      <c r="C13">
        <v>113</v>
      </c>
      <c r="D13" t="s">
        <v>54</v>
      </c>
      <c r="E13" t="s">
        <v>24</v>
      </c>
      <c r="F13" t="s">
        <v>40</v>
      </c>
      <c r="G13" t="s">
        <v>55</v>
      </c>
      <c r="H13" t="s">
        <v>24</v>
      </c>
      <c r="I13">
        <v>5</v>
      </c>
      <c r="J13" s="2">
        <v>1800</v>
      </c>
      <c r="K13" s="1">
        <v>46059</v>
      </c>
      <c r="L13" t="s">
        <v>21</v>
      </c>
      <c r="M13">
        <v>5</v>
      </c>
      <c r="N13" t="s">
        <v>27</v>
      </c>
    </row>
    <row r="14" spans="1:14" x14ac:dyDescent="0.3">
      <c r="A14" t="s">
        <v>56</v>
      </c>
      <c r="B14" t="s">
        <v>80</v>
      </c>
      <c r="C14">
        <v>114</v>
      </c>
      <c r="D14" t="s">
        <v>78</v>
      </c>
      <c r="E14" t="s">
        <v>12</v>
      </c>
      <c r="F14" t="s">
        <v>30</v>
      </c>
      <c r="G14" t="s">
        <v>57</v>
      </c>
      <c r="H14" t="s">
        <v>12</v>
      </c>
      <c r="I14">
        <v>2</v>
      </c>
      <c r="J14" s="2">
        <v>22000</v>
      </c>
      <c r="K14" s="1">
        <v>46060</v>
      </c>
      <c r="L14" t="s">
        <v>15</v>
      </c>
      <c r="M14">
        <v>3</v>
      </c>
      <c r="N14" t="s">
        <v>16</v>
      </c>
    </row>
    <row r="15" spans="1:14" x14ac:dyDescent="0.3">
      <c r="A15" t="s">
        <v>58</v>
      </c>
      <c r="B15" t="s">
        <v>80</v>
      </c>
      <c r="C15">
        <v>115</v>
      </c>
      <c r="D15" t="s">
        <v>59</v>
      </c>
      <c r="E15" t="s">
        <v>18</v>
      </c>
      <c r="F15" t="s">
        <v>13</v>
      </c>
      <c r="G15" t="s">
        <v>60</v>
      </c>
      <c r="H15" t="s">
        <v>18</v>
      </c>
      <c r="I15">
        <v>6</v>
      </c>
      <c r="J15" s="2">
        <v>399</v>
      </c>
      <c r="K15" s="1">
        <v>46062</v>
      </c>
      <c r="L15" t="s">
        <v>26</v>
      </c>
      <c r="M15">
        <v>4</v>
      </c>
      <c r="N15" t="s">
        <v>22</v>
      </c>
    </row>
    <row r="16" spans="1:14" x14ac:dyDescent="0.3">
      <c r="A16" t="s">
        <v>61</v>
      </c>
      <c r="B16" t="s">
        <v>80</v>
      </c>
      <c r="C16">
        <v>116</v>
      </c>
      <c r="D16" t="s">
        <v>62</v>
      </c>
      <c r="E16" t="s">
        <v>24</v>
      </c>
      <c r="F16" t="s">
        <v>19</v>
      </c>
      <c r="G16" t="s">
        <v>63</v>
      </c>
      <c r="H16" t="s">
        <v>24</v>
      </c>
      <c r="I16">
        <v>4</v>
      </c>
      <c r="J16" s="2">
        <v>1450</v>
      </c>
      <c r="K16" s="1">
        <v>46064</v>
      </c>
      <c r="L16" t="s">
        <v>21</v>
      </c>
      <c r="M16">
        <v>5</v>
      </c>
      <c r="N16" t="s">
        <v>27</v>
      </c>
    </row>
    <row r="17" spans="1:14" x14ac:dyDescent="0.3">
      <c r="A17" t="s">
        <v>64</v>
      </c>
      <c r="B17" t="s">
        <v>80</v>
      </c>
      <c r="C17">
        <v>117</v>
      </c>
      <c r="D17" t="s">
        <v>65</v>
      </c>
      <c r="E17" t="s">
        <v>12</v>
      </c>
      <c r="F17" t="s">
        <v>40</v>
      </c>
      <c r="G17" t="s">
        <v>66</v>
      </c>
      <c r="H17" t="s">
        <v>12</v>
      </c>
      <c r="I17">
        <v>3</v>
      </c>
      <c r="J17" s="2">
        <v>4999</v>
      </c>
      <c r="K17" s="1">
        <v>46066</v>
      </c>
      <c r="L17" t="s">
        <v>15</v>
      </c>
      <c r="M17">
        <v>2</v>
      </c>
      <c r="N17" t="s">
        <v>16</v>
      </c>
    </row>
    <row r="18" spans="1:14" x14ac:dyDescent="0.3">
      <c r="A18" t="s">
        <v>67</v>
      </c>
      <c r="B18" t="s">
        <v>80</v>
      </c>
      <c r="C18">
        <v>118</v>
      </c>
      <c r="D18" t="s">
        <v>75</v>
      </c>
      <c r="E18" t="s">
        <v>18</v>
      </c>
      <c r="F18" t="s">
        <v>13</v>
      </c>
      <c r="G18" t="s">
        <v>20</v>
      </c>
      <c r="H18" t="s">
        <v>18</v>
      </c>
      <c r="I18">
        <v>8</v>
      </c>
      <c r="J18" s="2">
        <v>799</v>
      </c>
      <c r="K18" s="1">
        <v>46068</v>
      </c>
      <c r="L18" t="s">
        <v>26</v>
      </c>
      <c r="M18">
        <v>5</v>
      </c>
      <c r="N18" t="s">
        <v>22</v>
      </c>
    </row>
    <row r="19" spans="1:14" x14ac:dyDescent="0.3">
      <c r="A19" t="s">
        <v>68</v>
      </c>
      <c r="B19" t="s">
        <v>80</v>
      </c>
      <c r="C19">
        <v>119</v>
      </c>
      <c r="D19" t="s">
        <v>69</v>
      </c>
      <c r="E19" t="s">
        <v>24</v>
      </c>
      <c r="F19" t="s">
        <v>30</v>
      </c>
      <c r="G19" t="s">
        <v>70</v>
      </c>
      <c r="H19" t="s">
        <v>24</v>
      </c>
      <c r="I19">
        <v>7</v>
      </c>
      <c r="J19" s="2">
        <v>850</v>
      </c>
      <c r="K19" s="1">
        <v>46069</v>
      </c>
      <c r="L19" t="s">
        <v>21</v>
      </c>
      <c r="M19">
        <v>4</v>
      </c>
      <c r="N19" t="s">
        <v>27</v>
      </c>
    </row>
    <row r="20" spans="1:14" x14ac:dyDescent="0.3">
      <c r="A20" t="s">
        <v>71</v>
      </c>
      <c r="B20" t="s">
        <v>80</v>
      </c>
      <c r="C20">
        <v>120</v>
      </c>
      <c r="D20" t="s">
        <v>72</v>
      </c>
      <c r="E20" t="s">
        <v>12</v>
      </c>
      <c r="F20" t="s">
        <v>13</v>
      </c>
      <c r="G20" t="s">
        <v>73</v>
      </c>
      <c r="H20" t="s">
        <v>12</v>
      </c>
      <c r="I20">
        <v>1</v>
      </c>
      <c r="J20" s="2">
        <v>45000</v>
      </c>
      <c r="K20" s="1">
        <v>46071</v>
      </c>
      <c r="L20" t="s">
        <v>15</v>
      </c>
      <c r="M20">
        <v>5</v>
      </c>
      <c r="N20" t="s">
        <v>16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2062E-1C92-4C3D-8F43-997800377E97}">
  <dimension ref="A1:L21"/>
  <sheetViews>
    <sheetView tabSelected="1" workbookViewId="0">
      <selection sqref="A1:A1048576"/>
    </sheetView>
  </sheetViews>
  <sheetFormatPr defaultRowHeight="14.4" x14ac:dyDescent="0.3"/>
  <cols>
    <col min="1" max="1" width="7.33203125" bestFit="1" customWidth="1"/>
    <col min="2" max="2" width="13.77734375" bestFit="1" customWidth="1"/>
    <col min="3" max="3" width="10.5546875" bestFit="1" customWidth="1"/>
    <col min="6" max="6" width="10" bestFit="1" customWidth="1"/>
    <col min="9" max="9" width="10.33203125" bestFit="1" customWidth="1"/>
  </cols>
  <sheetData>
    <row r="1" spans="1:12" x14ac:dyDescent="0.3">
      <c r="A1" t="s">
        <v>0</v>
      </c>
      <c r="B1" t="s">
        <v>129</v>
      </c>
      <c r="C1" t="s">
        <v>1</v>
      </c>
      <c r="D1" t="s">
        <v>2</v>
      </c>
      <c r="E1" t="s">
        <v>3</v>
      </c>
      <c r="F1" t="s">
        <v>4</v>
      </c>
      <c r="G1" t="s">
        <v>5</v>
      </c>
      <c r="H1" t="s">
        <v>6</v>
      </c>
      <c r="I1" t="s">
        <v>7</v>
      </c>
      <c r="J1" t="s">
        <v>8</v>
      </c>
      <c r="K1" t="s">
        <v>9</v>
      </c>
      <c r="L1" t="s">
        <v>10</v>
      </c>
    </row>
    <row r="2" spans="1:12" x14ac:dyDescent="0.3">
      <c r="A2" t="s">
        <v>11</v>
      </c>
      <c r="B2" t="s">
        <v>105</v>
      </c>
      <c r="C2" t="s">
        <v>12</v>
      </c>
      <c r="D2" t="s">
        <v>13</v>
      </c>
      <c r="E2" t="s">
        <v>14</v>
      </c>
      <c r="F2" t="s">
        <v>12</v>
      </c>
      <c r="G2">
        <v>2</v>
      </c>
      <c r="H2">
        <v>55000</v>
      </c>
      <c r="I2" s="1">
        <v>46034</v>
      </c>
      <c r="J2" t="s">
        <v>15</v>
      </c>
      <c r="K2">
        <v>5</v>
      </c>
      <c r="L2" t="s">
        <v>16</v>
      </c>
    </row>
    <row r="3" spans="1:12" x14ac:dyDescent="0.3">
      <c r="A3" t="s">
        <v>17</v>
      </c>
      <c r="B3" t="s">
        <v>106</v>
      </c>
      <c r="C3" t="s">
        <v>18</v>
      </c>
      <c r="D3" t="s">
        <v>19</v>
      </c>
      <c r="E3" t="s">
        <v>20</v>
      </c>
      <c r="F3" t="s">
        <v>18</v>
      </c>
      <c r="G3">
        <v>5</v>
      </c>
      <c r="H3">
        <v>799</v>
      </c>
      <c r="I3" s="1">
        <v>46037</v>
      </c>
      <c r="J3" t="s">
        <v>21</v>
      </c>
      <c r="K3">
        <v>4</v>
      </c>
      <c r="L3" t="s">
        <v>22</v>
      </c>
    </row>
    <row r="4" spans="1:12" x14ac:dyDescent="0.3">
      <c r="A4" t="s">
        <v>23</v>
      </c>
      <c r="B4" t="s">
        <v>107</v>
      </c>
      <c r="C4" t="s">
        <v>24</v>
      </c>
      <c r="D4" t="s">
        <v>13</v>
      </c>
      <c r="E4" t="s">
        <v>25</v>
      </c>
      <c r="F4" t="s">
        <v>24</v>
      </c>
      <c r="G4">
        <v>3</v>
      </c>
      <c r="H4">
        <v>1200</v>
      </c>
      <c r="I4" s="18">
        <v>46040</v>
      </c>
      <c r="J4" t="s">
        <v>26</v>
      </c>
      <c r="K4">
        <v>3</v>
      </c>
      <c r="L4" t="s">
        <v>27</v>
      </c>
    </row>
    <row r="5" spans="1:12" x14ac:dyDescent="0.3">
      <c r="A5" t="s">
        <v>28</v>
      </c>
      <c r="B5" t="s">
        <v>29</v>
      </c>
      <c r="C5" t="s">
        <v>12</v>
      </c>
      <c r="D5" t="s">
        <v>30</v>
      </c>
      <c r="E5" t="s">
        <v>31</v>
      </c>
      <c r="F5" t="s">
        <v>12</v>
      </c>
      <c r="G5">
        <v>10</v>
      </c>
      <c r="H5">
        <v>599</v>
      </c>
      <c r="I5" s="1">
        <v>46042</v>
      </c>
      <c r="J5" t="s">
        <v>15</v>
      </c>
      <c r="K5">
        <v>5</v>
      </c>
      <c r="L5" t="s">
        <v>16</v>
      </c>
    </row>
    <row r="6" spans="1:12" x14ac:dyDescent="0.3">
      <c r="A6" t="s">
        <v>32</v>
      </c>
      <c r="B6" t="s">
        <v>33</v>
      </c>
      <c r="C6" t="s">
        <v>18</v>
      </c>
      <c r="D6" t="s">
        <v>13</v>
      </c>
      <c r="E6" t="s">
        <v>34</v>
      </c>
      <c r="F6" t="s">
        <v>18</v>
      </c>
      <c r="G6">
        <v>4</v>
      </c>
      <c r="H6">
        <v>1899</v>
      </c>
      <c r="I6" s="1">
        <v>46044</v>
      </c>
      <c r="J6" t="s">
        <v>21</v>
      </c>
      <c r="K6">
        <v>2</v>
      </c>
      <c r="L6" t="s">
        <v>22</v>
      </c>
    </row>
    <row r="7" spans="1:12" x14ac:dyDescent="0.3">
      <c r="A7" t="s">
        <v>35</v>
      </c>
      <c r="B7" t="s">
        <v>36</v>
      </c>
      <c r="C7" t="s">
        <v>24</v>
      </c>
      <c r="D7" t="s">
        <v>19</v>
      </c>
      <c r="E7" t="s">
        <v>37</v>
      </c>
      <c r="F7" t="s">
        <v>24</v>
      </c>
      <c r="G7">
        <v>6</v>
      </c>
      <c r="H7">
        <v>450</v>
      </c>
      <c r="I7" s="18">
        <v>46047</v>
      </c>
      <c r="J7" t="s">
        <v>26</v>
      </c>
      <c r="K7">
        <v>4</v>
      </c>
      <c r="L7" t="s">
        <v>27</v>
      </c>
    </row>
    <row r="8" spans="1:12" x14ac:dyDescent="0.3">
      <c r="A8" t="s">
        <v>38</v>
      </c>
      <c r="B8" t="s">
        <v>39</v>
      </c>
      <c r="C8" t="s">
        <v>12</v>
      </c>
      <c r="D8" t="s">
        <v>40</v>
      </c>
      <c r="E8" t="s">
        <v>41</v>
      </c>
      <c r="F8" t="s">
        <v>12</v>
      </c>
      <c r="G8">
        <v>7</v>
      </c>
      <c r="H8">
        <v>999</v>
      </c>
      <c r="I8" s="1">
        <v>46049</v>
      </c>
      <c r="J8" t="s">
        <v>15</v>
      </c>
      <c r="K8">
        <v>5</v>
      </c>
      <c r="L8" t="s">
        <v>16</v>
      </c>
    </row>
    <row r="9" spans="1:12" x14ac:dyDescent="0.3">
      <c r="A9" t="s">
        <v>42</v>
      </c>
      <c r="B9" t="s">
        <v>130</v>
      </c>
      <c r="C9" t="s">
        <v>18</v>
      </c>
      <c r="D9" t="s">
        <v>13</v>
      </c>
      <c r="E9" t="s">
        <v>43</v>
      </c>
      <c r="F9" t="s">
        <v>18</v>
      </c>
      <c r="G9">
        <v>2</v>
      </c>
      <c r="H9">
        <v>2499</v>
      </c>
      <c r="I9" s="1">
        <v>46050</v>
      </c>
      <c r="J9" t="s">
        <v>26</v>
      </c>
      <c r="K9">
        <v>4</v>
      </c>
      <c r="L9" t="s">
        <v>22</v>
      </c>
    </row>
    <row r="10" spans="1:12" x14ac:dyDescent="0.3">
      <c r="A10" t="s">
        <v>44</v>
      </c>
      <c r="B10" t="s">
        <v>45</v>
      </c>
      <c r="C10" t="s">
        <v>24</v>
      </c>
      <c r="D10" t="s">
        <v>30</v>
      </c>
      <c r="E10" t="s">
        <v>46</v>
      </c>
      <c r="F10" t="s">
        <v>24</v>
      </c>
      <c r="G10">
        <v>8</v>
      </c>
      <c r="H10">
        <v>950</v>
      </c>
      <c r="I10" s="18">
        <v>46052</v>
      </c>
      <c r="J10" t="s">
        <v>21</v>
      </c>
      <c r="K10">
        <v>3</v>
      </c>
      <c r="L10" t="s">
        <v>27</v>
      </c>
    </row>
    <row r="11" spans="1:12" x14ac:dyDescent="0.3">
      <c r="A11" t="s">
        <v>47</v>
      </c>
      <c r="B11" t="s">
        <v>48</v>
      </c>
      <c r="C11" t="s">
        <v>12</v>
      </c>
      <c r="D11" t="s">
        <v>13</v>
      </c>
      <c r="E11" t="s">
        <v>49</v>
      </c>
      <c r="F11" t="s">
        <v>12</v>
      </c>
      <c r="G11">
        <v>1</v>
      </c>
      <c r="H11">
        <v>12500</v>
      </c>
      <c r="I11" s="1">
        <v>46054</v>
      </c>
      <c r="J11" t="s">
        <v>15</v>
      </c>
      <c r="K11">
        <v>5</v>
      </c>
      <c r="L11" t="s">
        <v>16</v>
      </c>
    </row>
    <row r="12" spans="1:12" x14ac:dyDescent="0.3">
      <c r="A12" t="s">
        <v>131</v>
      </c>
      <c r="B12" t="s">
        <v>105</v>
      </c>
      <c r="C12" t="s">
        <v>12</v>
      </c>
      <c r="D12" t="s">
        <v>13</v>
      </c>
      <c r="E12" t="s">
        <v>14</v>
      </c>
      <c r="F12" t="s">
        <v>12</v>
      </c>
      <c r="G12">
        <v>2</v>
      </c>
      <c r="H12">
        <v>55000</v>
      </c>
      <c r="I12" s="1">
        <v>46034</v>
      </c>
      <c r="J12" t="s">
        <v>15</v>
      </c>
      <c r="K12">
        <v>5</v>
      </c>
      <c r="L12" t="s">
        <v>16</v>
      </c>
    </row>
    <row r="13" spans="1:12" x14ac:dyDescent="0.3">
      <c r="A13" t="s">
        <v>50</v>
      </c>
      <c r="B13" t="s">
        <v>51</v>
      </c>
      <c r="C13" t="s">
        <v>18</v>
      </c>
      <c r="D13" t="s">
        <v>19</v>
      </c>
      <c r="E13" t="s">
        <v>52</v>
      </c>
      <c r="F13" t="s">
        <v>18</v>
      </c>
      <c r="G13">
        <v>3</v>
      </c>
      <c r="H13">
        <v>3499</v>
      </c>
      <c r="I13" s="1">
        <v>46057</v>
      </c>
      <c r="J13" t="s">
        <v>26</v>
      </c>
      <c r="K13">
        <v>4</v>
      </c>
      <c r="L13" t="s">
        <v>22</v>
      </c>
    </row>
    <row r="14" spans="1:12" x14ac:dyDescent="0.3">
      <c r="A14" t="s">
        <v>53</v>
      </c>
      <c r="B14" t="s">
        <v>54</v>
      </c>
      <c r="C14" t="s">
        <v>24</v>
      </c>
      <c r="D14" t="s">
        <v>40</v>
      </c>
      <c r="E14" t="s">
        <v>55</v>
      </c>
      <c r="F14" t="s">
        <v>24</v>
      </c>
      <c r="G14">
        <v>5</v>
      </c>
      <c r="H14">
        <v>1800</v>
      </c>
      <c r="I14" s="18">
        <v>46059</v>
      </c>
      <c r="J14" t="s">
        <v>21</v>
      </c>
      <c r="K14">
        <v>5</v>
      </c>
      <c r="L14" t="s">
        <v>27</v>
      </c>
    </row>
    <row r="15" spans="1:12" x14ac:dyDescent="0.3">
      <c r="A15" t="s">
        <v>56</v>
      </c>
      <c r="B15" t="s">
        <v>132</v>
      </c>
      <c r="C15" t="s">
        <v>12</v>
      </c>
      <c r="D15" t="s">
        <v>30</v>
      </c>
      <c r="E15" t="s">
        <v>57</v>
      </c>
      <c r="F15" t="s">
        <v>12</v>
      </c>
      <c r="G15">
        <v>2</v>
      </c>
      <c r="H15">
        <v>22000</v>
      </c>
      <c r="I15" s="1">
        <v>46060</v>
      </c>
      <c r="J15" t="s">
        <v>15</v>
      </c>
      <c r="K15">
        <v>3</v>
      </c>
      <c r="L15" t="s">
        <v>16</v>
      </c>
    </row>
    <row r="16" spans="1:12" x14ac:dyDescent="0.3">
      <c r="A16" t="s">
        <v>58</v>
      </c>
      <c r="B16" t="s">
        <v>59</v>
      </c>
      <c r="C16" t="s">
        <v>18</v>
      </c>
      <c r="D16" t="s">
        <v>13</v>
      </c>
      <c r="E16" t="s">
        <v>60</v>
      </c>
      <c r="F16" t="s">
        <v>18</v>
      </c>
      <c r="G16">
        <v>6</v>
      </c>
      <c r="H16">
        <v>399</v>
      </c>
      <c r="I16" s="1">
        <v>46062</v>
      </c>
      <c r="J16" t="s">
        <v>26</v>
      </c>
      <c r="K16">
        <v>4</v>
      </c>
      <c r="L16" t="s">
        <v>22</v>
      </c>
    </row>
    <row r="17" spans="1:12" x14ac:dyDescent="0.3">
      <c r="A17" t="s">
        <v>61</v>
      </c>
      <c r="B17" t="s">
        <v>62</v>
      </c>
      <c r="C17" t="s">
        <v>24</v>
      </c>
      <c r="D17" t="s">
        <v>19</v>
      </c>
      <c r="E17" t="s">
        <v>63</v>
      </c>
      <c r="F17" t="s">
        <v>24</v>
      </c>
      <c r="G17">
        <v>4</v>
      </c>
      <c r="H17">
        <v>1450</v>
      </c>
      <c r="I17" s="18">
        <v>46064</v>
      </c>
      <c r="J17" t="s">
        <v>21</v>
      </c>
      <c r="K17">
        <v>5</v>
      </c>
      <c r="L17" t="s">
        <v>27</v>
      </c>
    </row>
    <row r="18" spans="1:12" x14ac:dyDescent="0.3">
      <c r="A18" t="s">
        <v>64</v>
      </c>
      <c r="B18" t="s">
        <v>65</v>
      </c>
      <c r="C18" t="s">
        <v>12</v>
      </c>
      <c r="D18" t="s">
        <v>40</v>
      </c>
      <c r="E18" t="s">
        <v>66</v>
      </c>
      <c r="F18" t="s">
        <v>12</v>
      </c>
      <c r="G18">
        <v>3</v>
      </c>
      <c r="H18">
        <v>4999</v>
      </c>
      <c r="I18" s="1">
        <v>46066</v>
      </c>
      <c r="J18" t="s">
        <v>15</v>
      </c>
      <c r="K18">
        <v>2</v>
      </c>
      <c r="L18" t="s">
        <v>16</v>
      </c>
    </row>
    <row r="19" spans="1:12" x14ac:dyDescent="0.3">
      <c r="A19" t="s">
        <v>67</v>
      </c>
      <c r="B19" t="s">
        <v>106</v>
      </c>
      <c r="C19" t="s">
        <v>18</v>
      </c>
      <c r="D19" t="s">
        <v>13</v>
      </c>
      <c r="E19" t="s">
        <v>20</v>
      </c>
      <c r="F19" t="s">
        <v>18</v>
      </c>
      <c r="G19">
        <v>8</v>
      </c>
      <c r="H19">
        <v>799</v>
      </c>
      <c r="I19" s="1">
        <v>46068</v>
      </c>
      <c r="J19" t="s">
        <v>26</v>
      </c>
      <c r="K19">
        <v>5</v>
      </c>
      <c r="L19" t="s">
        <v>22</v>
      </c>
    </row>
    <row r="20" spans="1:12" x14ac:dyDescent="0.3">
      <c r="A20" t="s">
        <v>68</v>
      </c>
      <c r="B20" t="s">
        <v>69</v>
      </c>
      <c r="C20" t="s">
        <v>24</v>
      </c>
      <c r="D20" t="s">
        <v>30</v>
      </c>
      <c r="E20" t="s">
        <v>70</v>
      </c>
      <c r="F20" t="s">
        <v>24</v>
      </c>
      <c r="G20">
        <v>7</v>
      </c>
      <c r="H20">
        <v>850</v>
      </c>
      <c r="I20" t="s">
        <v>21</v>
      </c>
      <c r="J20">
        <v>4</v>
      </c>
      <c r="K20" t="s">
        <v>27</v>
      </c>
    </row>
    <row r="21" spans="1:12" x14ac:dyDescent="0.3">
      <c r="A21" t="s">
        <v>71</v>
      </c>
      <c r="B21" t="s">
        <v>72</v>
      </c>
      <c r="C21" t="s">
        <v>12</v>
      </c>
      <c r="D21" t="s">
        <v>13</v>
      </c>
      <c r="E21" t="s">
        <v>73</v>
      </c>
      <c r="F21" t="s">
        <v>12</v>
      </c>
      <c r="G21">
        <v>1</v>
      </c>
      <c r="H21">
        <v>45000</v>
      </c>
      <c r="I21" s="18">
        <v>46071</v>
      </c>
      <c r="J21" t="s">
        <v>15</v>
      </c>
      <c r="K21">
        <v>5</v>
      </c>
      <c r="L21"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Dashboard_Sheet</vt:lpstr>
      <vt:lpstr>Pivot_Reports</vt:lpstr>
      <vt:lpstr>Formula_Analysis</vt:lpstr>
      <vt:lpstr>Manager_Data</vt:lpstr>
      <vt:lpstr>Cleaned_Data</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Jitendra Sah</dc:creator>
  <cp:lastModifiedBy>Jitendra Sah</cp:lastModifiedBy>
  <dcterms:created xsi:type="dcterms:W3CDTF">2026-05-27T16:04:50Z</dcterms:created>
  <dcterms:modified xsi:type="dcterms:W3CDTF">2026-05-29T07:50:56Z</dcterms:modified>
</cp:coreProperties>
</file>